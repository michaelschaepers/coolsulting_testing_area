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Z:\Coolsulting_Tool\"/>
    </mc:Choice>
  </mc:AlternateContent>
  <xr:revisionPtr revIDLastSave="0" documentId="13_ncr:1_{AD73AF56-439C-4DFD-BB2A-AA0E2CD14361}" xr6:coauthVersionLast="47" xr6:coauthVersionMax="47" xr10:uidLastSave="{00000000-0000-0000-0000-000000000000}"/>
  <bookViews>
    <workbookView xWindow="-108" yWindow="-108" windowWidth="23256" windowHeight="13896" xr2:uid="{4F1FE85F-A56D-4D4E-B7CB-91853AFA329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E3" i="1" s="1"/>
  <c r="F4" i="1"/>
  <c r="E4" i="1" s="1"/>
  <c r="F5" i="1"/>
  <c r="E5" i="1" s="1"/>
  <c r="F6" i="1"/>
  <c r="E6" i="1" s="1"/>
  <c r="F7" i="1"/>
  <c r="E7" i="1" s="1"/>
  <c r="F8" i="1"/>
  <c r="E8" i="1" s="1"/>
  <c r="F9" i="1"/>
  <c r="E9" i="1" s="1"/>
  <c r="F10" i="1"/>
  <c r="E10" i="1" s="1"/>
  <c r="E11" i="1"/>
  <c r="F11" i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E19" i="1"/>
  <c r="F19" i="1"/>
  <c r="E20" i="1"/>
  <c r="F20" i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E27" i="1"/>
  <c r="F27" i="1"/>
  <c r="E28" i="1"/>
  <c r="F28" i="1"/>
  <c r="F29" i="1"/>
  <c r="E29" i="1" s="1"/>
  <c r="F30" i="1"/>
  <c r="E30" i="1" s="1"/>
  <c r="F31" i="1"/>
  <c r="E31" i="1" s="1"/>
  <c r="F32" i="1"/>
  <c r="E32" i="1" s="1"/>
  <c r="F33" i="1"/>
  <c r="E33" i="1" s="1"/>
  <c r="F34" i="1"/>
  <c r="E34" i="1" s="1"/>
  <c r="E35" i="1"/>
  <c r="F35" i="1"/>
  <c r="E36" i="1"/>
  <c r="F36" i="1"/>
  <c r="F37" i="1"/>
  <c r="E37" i="1" s="1"/>
  <c r="F38" i="1"/>
  <c r="E38" i="1" s="1"/>
  <c r="F39" i="1"/>
  <c r="E39" i="1" s="1"/>
  <c r="F40" i="1"/>
  <c r="E40" i="1" s="1"/>
  <c r="F41" i="1"/>
  <c r="E41" i="1" s="1"/>
  <c r="F42" i="1"/>
  <c r="E42" i="1" s="1"/>
  <c r="E43" i="1"/>
  <c r="F43" i="1"/>
  <c r="E44" i="1"/>
  <c r="F44" i="1"/>
  <c r="F45" i="1"/>
  <c r="E45" i="1" s="1"/>
  <c r="F46" i="1"/>
  <c r="E46" i="1" s="1"/>
  <c r="F47" i="1"/>
  <c r="E47" i="1" s="1"/>
  <c r="F48" i="1"/>
  <c r="E48" i="1" s="1"/>
  <c r="F49" i="1"/>
  <c r="E49" i="1" s="1"/>
  <c r="F50" i="1"/>
  <c r="E50" i="1" s="1"/>
  <c r="E51" i="1"/>
  <c r="F51" i="1"/>
  <c r="E52" i="1"/>
  <c r="F52" i="1"/>
  <c r="F53" i="1"/>
  <c r="E53" i="1" s="1"/>
  <c r="F54" i="1"/>
  <c r="E54" i="1" s="1"/>
  <c r="F55" i="1"/>
  <c r="E55" i="1" s="1"/>
  <c r="F56" i="1"/>
  <c r="E56" i="1" s="1"/>
  <c r="F57" i="1"/>
  <c r="E57" i="1" s="1"/>
  <c r="F58" i="1"/>
  <c r="E58" i="1" s="1"/>
  <c r="E59" i="1"/>
  <c r="F59" i="1"/>
  <c r="E60" i="1"/>
  <c r="F60" i="1"/>
  <c r="F61" i="1"/>
  <c r="E61" i="1" s="1"/>
  <c r="F62" i="1"/>
  <c r="E62" i="1" s="1"/>
  <c r="F63" i="1"/>
  <c r="E63" i="1" s="1"/>
  <c r="F64" i="1"/>
  <c r="E64" i="1" s="1"/>
  <c r="F65" i="1"/>
  <c r="E65" i="1" s="1"/>
  <c r="F66" i="1"/>
  <c r="E66" i="1" s="1"/>
  <c r="E67" i="1"/>
  <c r="F67" i="1"/>
  <c r="E68" i="1"/>
  <c r="F68" i="1"/>
  <c r="F69" i="1"/>
  <c r="E69" i="1" s="1"/>
  <c r="F70" i="1"/>
  <c r="E70" i="1" s="1"/>
  <c r="F71" i="1"/>
  <c r="E71" i="1" s="1"/>
  <c r="F72" i="1"/>
  <c r="E72" i="1" s="1"/>
  <c r="F73" i="1"/>
  <c r="E73" i="1" s="1"/>
  <c r="F74" i="1"/>
  <c r="E74" i="1" s="1"/>
  <c r="E75" i="1"/>
  <c r="F75" i="1"/>
  <c r="E76" i="1"/>
  <c r="F76" i="1"/>
  <c r="F77" i="1"/>
  <c r="E77" i="1" s="1"/>
  <c r="F78" i="1"/>
  <c r="E78" i="1" s="1"/>
  <c r="F79" i="1"/>
  <c r="E79" i="1" s="1"/>
  <c r="F80" i="1"/>
  <c r="E80" i="1" s="1"/>
  <c r="F81" i="1"/>
  <c r="E81" i="1" s="1"/>
  <c r="F82" i="1"/>
  <c r="E82" i="1" s="1"/>
  <c r="E83" i="1"/>
  <c r="F83" i="1"/>
  <c r="E84" i="1"/>
  <c r="F84" i="1"/>
  <c r="F85" i="1"/>
  <c r="E85" i="1" s="1"/>
  <c r="F86" i="1"/>
  <c r="E86" i="1" s="1"/>
  <c r="F87" i="1"/>
  <c r="E87" i="1" s="1"/>
  <c r="F88" i="1"/>
  <c r="E88" i="1" s="1"/>
  <c r="F89" i="1"/>
  <c r="E89" i="1" s="1"/>
  <c r="F90" i="1"/>
  <c r="E90" i="1" s="1"/>
  <c r="E91" i="1"/>
  <c r="F91" i="1"/>
  <c r="E92" i="1"/>
  <c r="F92" i="1"/>
  <c r="F93" i="1"/>
  <c r="E93" i="1" s="1"/>
  <c r="F94" i="1"/>
  <c r="E94" i="1" s="1"/>
  <c r="F95" i="1"/>
  <c r="E95" i="1" s="1"/>
  <c r="F96" i="1"/>
  <c r="E96" i="1" s="1"/>
  <c r="F97" i="1"/>
  <c r="E97" i="1" s="1"/>
  <c r="F98" i="1"/>
  <c r="E98" i="1" s="1"/>
  <c r="E99" i="1"/>
  <c r="F99" i="1"/>
  <c r="E100" i="1"/>
  <c r="F100" i="1"/>
  <c r="F101" i="1"/>
  <c r="E101" i="1" s="1"/>
  <c r="F102" i="1"/>
  <c r="E102" i="1" s="1"/>
  <c r="F103" i="1"/>
  <c r="E103" i="1" s="1"/>
  <c r="F104" i="1"/>
  <c r="E104" i="1" s="1"/>
  <c r="F105" i="1"/>
  <c r="E105" i="1" s="1"/>
  <c r="F106" i="1"/>
  <c r="E106" i="1" s="1"/>
  <c r="E107" i="1"/>
  <c r="F107" i="1"/>
  <c r="E108" i="1"/>
  <c r="F108" i="1"/>
  <c r="F109" i="1"/>
  <c r="E109" i="1" s="1"/>
  <c r="F110" i="1"/>
  <c r="E110" i="1" s="1"/>
  <c r="F111" i="1"/>
  <c r="E111" i="1" s="1"/>
  <c r="F112" i="1"/>
  <c r="E112" i="1" s="1"/>
  <c r="F113" i="1"/>
  <c r="E113" i="1" s="1"/>
  <c r="F114" i="1"/>
  <c r="E114" i="1" s="1"/>
  <c r="E115" i="1"/>
  <c r="F115" i="1"/>
  <c r="E116" i="1"/>
  <c r="F116" i="1"/>
  <c r="F117" i="1"/>
  <c r="E117" i="1" s="1"/>
  <c r="F118" i="1"/>
  <c r="E118" i="1" s="1"/>
  <c r="E2" i="1"/>
  <c r="F2" i="1"/>
</calcChain>
</file>

<file path=xl/sharedStrings.xml><?xml version="1.0" encoding="utf-8"?>
<sst xmlns="http://schemas.openxmlformats.org/spreadsheetml/2006/main" count="336" uniqueCount="164">
  <si>
    <t>Artikelnumer</t>
  </si>
  <si>
    <t>Kategorie</t>
  </si>
  <si>
    <t>Dienstleistung</t>
  </si>
  <si>
    <t>Versandkosten</t>
  </si>
  <si>
    <t>TCF</t>
  </si>
  <si>
    <t>TCF-Techniker-Reisestunden</t>
  </si>
  <si>
    <t>TCK</t>
  </si>
  <si>
    <t>TCK-Technikerstunde</t>
  </si>
  <si>
    <t>IBU-DVM-20</t>
  </si>
  <si>
    <t>Unterstützung des Kälte-|Klimatechnik-Fachpartners bei der Inbetriebnahme Anlagenumgfang: Samsung DVM-S VRF-System | 1 bis 20 Innengeräte und 1 Außengerät</t>
  </si>
  <si>
    <t>AAP</t>
  </si>
  <si>
    <t>An-u. Abfahrtspauschale für Partner WE-WL-L-LL-UU</t>
  </si>
  <si>
    <t>TCP</t>
  </si>
  <si>
    <t>TCP-Technikerstunde für Partner</t>
  </si>
  <si>
    <t>R_INST30</t>
  </si>
  <si>
    <t>Wartungspauschale/n für Klimawartungen  "1 Innengerät 1 Außengerät"</t>
  </si>
  <si>
    <t>R_INST31</t>
  </si>
  <si>
    <t>Wartungspauschale/n für Klimawartungen  "2 Innengerät 1 Außengerät"</t>
  </si>
  <si>
    <t>R_INST32</t>
  </si>
  <si>
    <t>Wartungspauschale/n für Klimawartungen  "3 Innengerät 1 Außengerät"</t>
  </si>
  <si>
    <t>R_INST34</t>
  </si>
  <si>
    <t>Wartungspauschale/n für Klimawartungen  "5 Innengerät 1 Außengerät"</t>
  </si>
  <si>
    <t>R_INST33</t>
  </si>
  <si>
    <t>Wartungspauschalen für Klimawartungen  "4 Innengerät 1 Außengerät"</t>
  </si>
  <si>
    <t>OBI</t>
  </si>
  <si>
    <t>OBI Vermittlungs Provision</t>
  </si>
  <si>
    <t>R_INST25</t>
  </si>
  <si>
    <t xml:space="preserve">Montage- Kältemittelleitung 1/4"/3/8" </t>
  </si>
  <si>
    <t>R_INST23</t>
  </si>
  <si>
    <t>Inbetriebnahmepauschale  für obengenanntes Quattro-Multi-Split-Klimasystem</t>
  </si>
  <si>
    <t>R_INST24</t>
  </si>
  <si>
    <t>Inbetriebnahmepauschale  für obengenanntes 5er-Multi-Split-Klimasystem</t>
  </si>
  <si>
    <t>R_INST26</t>
  </si>
  <si>
    <t xml:space="preserve">Montage- Kältemittelleitung 1/4"/1/2" </t>
  </si>
  <si>
    <t>R_INST27</t>
  </si>
  <si>
    <t>Montage- Kältemittelleitung 1/4"/5/8"</t>
  </si>
  <si>
    <t>R_INST28</t>
  </si>
  <si>
    <t>Handbohrung  Ziegel (bis 25cm Wandstärke)</t>
  </si>
  <si>
    <t>R_INST29</t>
  </si>
  <si>
    <t xml:space="preserve">An/- Anfahrtspauschale Ortsgebiet Linz </t>
  </si>
  <si>
    <t>R_INST16</t>
  </si>
  <si>
    <t>Montagepauschale für obengenannte Duo- Außen-Eineheit/en inkl. Dämpfungssockel</t>
  </si>
  <si>
    <t>R_INST22</t>
  </si>
  <si>
    <t>Inbetriebnahmepauschale  für obengenanntes Trio-Multi-Split-Klimasystem</t>
  </si>
  <si>
    <t>R_INST21</t>
  </si>
  <si>
    <t>Inbetriebnahmepauschale  für obengenanntes Duo- Multi-Split-Klimasystem</t>
  </si>
  <si>
    <t>R_INST20</t>
  </si>
  <si>
    <t>Inbetriebnahmepauschale  für obengenanntes Mono-Split-Klimasystem</t>
  </si>
  <si>
    <t>R_INST19</t>
  </si>
  <si>
    <t>Montagepauschale für obengenannte 5er-Außen-Eineheit/en inkl. Dämpfungssockel</t>
  </si>
  <si>
    <t>R_INST18</t>
  </si>
  <si>
    <t>Montagepauschale für obengenannte Quattro-Außen-Eineheit/en inkl. Dämpfungssockel</t>
  </si>
  <si>
    <t>R_INST17</t>
  </si>
  <si>
    <t>Montagepauschale für obengenannte Trio-Außen-Eineheit/en inkl. Dämpfungssockel</t>
  </si>
  <si>
    <t>R_INST15</t>
  </si>
  <si>
    <t>Montagepauschale für obengenannte Außen-Eineheit inkl. Dämpfungssockel</t>
  </si>
  <si>
    <t>R_INST01</t>
  </si>
  <si>
    <t>Service Techniker Kälte/Klima</t>
  </si>
  <si>
    <t>R_INST05</t>
  </si>
  <si>
    <t>Helfer bzw. Lehrling</t>
  </si>
  <si>
    <t>R_INST06</t>
  </si>
  <si>
    <t>Übernachtungspauschale</t>
  </si>
  <si>
    <t>R_INST07</t>
  </si>
  <si>
    <t xml:space="preserve">Montagepauschale für obengenannte Multi/Mono Split-Anlage </t>
  </si>
  <si>
    <t>R_INST09</t>
  </si>
  <si>
    <t>Einbaupauschale einer Kondesatwasserpumpe für obengenannte Inneneinheit/en</t>
  </si>
  <si>
    <t>R_INST10</t>
  </si>
  <si>
    <t xml:space="preserve">Montagepauschale für obengenannte Außen-Eineheit inkl. Wandkonsole  </t>
  </si>
  <si>
    <t>R_INST11</t>
  </si>
  <si>
    <t xml:space="preserve">Montagepauschale für obengenannte Außen-Eineheit/en inkl. Wandkonsole  </t>
  </si>
  <si>
    <t>R_INST12</t>
  </si>
  <si>
    <t>R_INST13</t>
  </si>
  <si>
    <t>R_INST14</t>
  </si>
  <si>
    <t>R_INST08</t>
  </si>
  <si>
    <t>Montagepauschale für obengenannte Inneneinheit/en</t>
  </si>
  <si>
    <t>KERNZ</t>
  </si>
  <si>
    <t>Kernbohrung 50-65 mm durch eine  Ziegel-, Holz- oder Trockenbauwand</t>
  </si>
  <si>
    <t>INST2025</t>
  </si>
  <si>
    <t>Installation für obengenanntes Multi/Mono-Split-Klimasystem</t>
  </si>
  <si>
    <t>MPS2025</t>
  </si>
  <si>
    <t>Monteur-Partie-Stunde</t>
  </si>
  <si>
    <t>KERNB</t>
  </si>
  <si>
    <t>Kernbohrung 50-65 mm durch eine Stahlbetonwand (max.200 mm)</t>
  </si>
  <si>
    <t>KERNSB</t>
  </si>
  <si>
    <t>Kernbohrung 50-65 mm durch eine Betonwand</t>
  </si>
  <si>
    <t>ISK</t>
  </si>
  <si>
    <t>Installation Split-Klimaanlage</t>
  </si>
  <si>
    <t>KERN-65-BW</t>
  </si>
  <si>
    <t>KERN-65-SBW</t>
  </si>
  <si>
    <t>KERN-80-ZHT</t>
  </si>
  <si>
    <t>Kernbohrung 80 mm durch eine  Ziegel-, Holz- oder Trockenbauwand</t>
  </si>
  <si>
    <t>KERN-65-ZHT</t>
  </si>
  <si>
    <t>AS01261</t>
  </si>
  <si>
    <t>BODENKONSOLEN (Gummi Dämpfungssockel)
FÜR AUẞENEINHEITEN
Schwingungsdämpfende Bodenplatte
SETMIT 2 "ECOSOPORT"-SOCKELN
Einschließlich Befestigungsschrauben Sockel 130 mm
Höhe 95 mm   
Länge 400 mm. Max. Gerätegewicht 215 kg 
Mindesabnahmemenge: Pack your Palett Aktion
Mehr Informationen-siehe technisches Datenblatt</t>
  </si>
  <si>
    <t>AS01262</t>
  </si>
  <si>
    <t>BODENKONSOLEN (Gummi Dämpfungssockel)
FÜR AUẞENEINHEITEN
Schwingungsdämpfende Bodenplatte
SETMIT 2 "ECOSOPORT"-SOCKELN
Einschließlich Befestigungsschrauben Sockel 130 mm
Höhe 95 mm   
Länge 400 mm. Max. Gerätegewicht 215 kg  € 16,--/Set
Länge 600 mm. Max. Gerätegewicht 350 kg 
Mindesabnahmemenge: Pack your Palett Aktion
Mehr Informationen-siehe technisches Datenblatt</t>
  </si>
  <si>
    <t>AS01031</t>
  </si>
  <si>
    <t>EIGENSCHAFTEN:
• Cremefarben mit Epoxyd-Polyester
beschichtet.
• Blechstärke 2 mm.
• 3 Bohrungen Ø12 Wandbefestigung:
880/550
GESTELL FÜR DIE AUßENEINHEIT
Modell WANDDECKE 880 mm
Mindesabnahmemenge: Pack your Palett Aktion
Mehr Informationen-siehe technisches Datenblatt</t>
  </si>
  <si>
    <t>AS01025</t>
  </si>
  <si>
    <t>Modell
A (regulierbar)
mm
B (verstellbar)
mm
C
mm
D
mm
TRM 500 a 800 150 a 350 625 450
Modell
A (regulierbar)
mm
B (verstellbar)
mm
C
mm
D
mm
TRG 600 a 1000 200 a 400 725 500
Bestellnr. Modell Gewicht
(kg)
AS 01 025
Mittlere TRM-
Unterstützung
6kg
Materialien
- Verzinktes Stahlblech
- Dicke: 2 mm
- Cremefarben mit Epoxid-Polyester beschichte
Mindesabnahmemenge: Pack your Palett Aktion
Mehr Informationen-siehe technisches Datenblatt</t>
  </si>
  <si>
    <t>AS01026</t>
  </si>
  <si>
    <t>Bestellnr. Modell Gewicht
(kg)
AS 01 026
Große TRG-
Unterstützung
7kg
Materialien
- Verzinktes Stahlblech
- Dicke: 2 mm
- Cremefarben mit Epoxid-Polyester beschichte
Mindesabnahmemenge: Pack your Palett Aktion
Mehr Informationen-siehe technisches Datenblatt</t>
  </si>
  <si>
    <r>
      <t xml:space="preserve">SATZ MIT 2 "ECOSOPORT"-SOCKELN
Einschließlich Befestigungsschrauben
Sockel 130 mm
Höhe 95 mm
</t>
    </r>
    <r>
      <rPr>
        <b/>
        <sz val="11"/>
        <color theme="8" tint="0.39997558519241921"/>
        <rFont val="Aptos Narrow"/>
        <family val="2"/>
        <scheme val="minor"/>
      </rPr>
      <t xml:space="preserve">Länge 400 mm. </t>
    </r>
    <r>
      <rPr>
        <sz val="11"/>
        <color theme="8" tint="0.39997558519241921"/>
        <rFont val="Aptos Narrow"/>
        <family val="2"/>
        <scheme val="minor"/>
      </rPr>
      <t xml:space="preserve">
Max. Gerätegewicht 215 kg
AS01261 </t>
    </r>
  </si>
  <si>
    <r>
      <t xml:space="preserve">SATZ MIT 2 "ECOSOPORT"-SOCKELN
Einschließlich Befestigungsschrauben
Sockel 130 mm
Höhe 95 mm
</t>
    </r>
    <r>
      <rPr>
        <b/>
        <sz val="11"/>
        <color theme="8" tint="0.39997558519241921"/>
        <rFont val="Aptos Narrow"/>
        <family val="2"/>
        <scheme val="minor"/>
      </rPr>
      <t xml:space="preserve">Länge 600 mm. </t>
    </r>
    <r>
      <rPr>
        <sz val="11"/>
        <color theme="8" tint="0.39997558519241921"/>
        <rFont val="Aptos Narrow"/>
        <family val="2"/>
        <scheme val="minor"/>
      </rPr>
      <t xml:space="preserve">
Max. Gerätegewicht 350 kg
AS01262 </t>
    </r>
  </si>
  <si>
    <t xml:space="preserve">GUS GDS 600 Dämpfungssockel
600x190x95 mm / Alu-Profil 40 x 21 mm
Tragfähigkeit 450 kg
Code: 20282
9,95 pro stück </t>
  </si>
  <si>
    <t>GUS Schraubensatz für GDS
Dämpfungssockel
2 Stück Hammerkopfschraube (2-teilig)
Code: 20308
Nettogewicht : 0,500
1,5  € pro Sockel</t>
  </si>
  <si>
    <t>GUS CUW-3 Edelstahl Ölprotektor H x B x T: 35 x 1150 x 500 mm
Artikelnummer:  855985
Werksnummer: 20023</t>
  </si>
  <si>
    <t>GUS AUW-3 Aluminium Ölprotektor H x B x T: 35 x 1150 x 500 mm
Artikelnummer:  855998
Werksnummer: 20043</t>
  </si>
  <si>
    <t>WK -Konsole 700 mm verschweisst
Artikelnummer:  305003
Werksnummer: 0290011</t>
  </si>
  <si>
    <t>Teleskop-Wandkonsole MS 257
Code: MS257 105</t>
  </si>
  <si>
    <t>Schiebekonsole GIOTTO SG 120 EVO bis 120 kg Set
Artikelnummer: 
856001
Werksnummer:
111000801</t>
  </si>
  <si>
    <r>
      <t xml:space="preserve">Wandkonsole mit Schiene, 
MS257, 
Tiefe 550 mm, 
weiss, 140 kg
</t>
    </r>
    <r>
      <rPr>
        <sz val="11"/>
        <color rgb="FF777777"/>
        <rFont val="Arial"/>
        <family val="2"/>
      </rPr>
      <t>ArtNr.: 1050013</t>
    </r>
  </si>
  <si>
    <t>Gummischwingungsdämpfer - 
Set 4 Stk. 
SR-1-N-M8
ArtNr.: 1300230</t>
  </si>
  <si>
    <t xml:space="preserve">AUFHÄNGEBÜGEL FÜR DECKEN 500-800 mm
AS01025
</t>
  </si>
  <si>
    <t xml:space="preserve">AUFHÄNGEBÜGEL FÜR DECKEN 600-1000mm
AS01026
</t>
  </si>
  <si>
    <t>Diversitech
Diversitech Ultralite Pad 1200x600x75mm
ArtNr.: 1150600</t>
  </si>
  <si>
    <t>Dachkonsole 9°-45°,
 Tiefe 420 mm, 
70+70 kg
ArtNr.: 1100000</t>
  </si>
  <si>
    <t>Soleco CB1MNaZcM Schwingungsdämpfer Kit mit 4 Stück Stahlfederfüße 70-120 kg 
Artikelnummer: 
771162
Werksnummer:
CB1MNaZcM/00000</t>
  </si>
  <si>
    <t>Soleco CB1MNaZcG Schwingungsdämpfer Kit
 mit 4 Stück Stahlfederfüße 50-80 kg
(Je 2 Stück für ungleiche Gewichtsverteilung)
771161</t>
  </si>
  <si>
    <t>Soleco CB1MNaZcV Schwingungsdämpfer Kit 
mit 4 Stück Stahlfederfüße 30-55 kg 
(Je 2 Stück für ungleiche Gewichtsverteilung)
771160</t>
  </si>
  <si>
    <t xml:space="preserve">
Cellpack
DUCT SEAL Universal bis Dichtungskitt 0,454 Kg
Type:DUXSEAL 0,454 KG
SCHÄCKE Art.Nr.: 1676288
Hersteller-Art.Nr.240358</t>
  </si>
  <si>
    <t>Cellpack
DUCT SEAL Universal bis Dichtungskitt 2,5 Kg
SCHÄCKE Art.Nr.: 
1692399
Hersteller-Art.Nr.: 
240357
Type: DUXSEAL 2,5</t>
  </si>
  <si>
    <t>FlexyKit AD.FLEX.80, passend zu ADF8
bestehend aus 1x FlexSchlauch DM 60 Länge 1000,
2x FlexConnector, 1x FlexEnd und 1x Edelstahl-Klammer
Code : 0515.00114.072</t>
  </si>
  <si>
    <t>FlexyKit AD.FLEX.110, passend zu ADF12
bestehend aus 1x FlexSchlauch DM 80 Länge 1000,
2x FlexConnector, 1x FlexEnd</t>
  </si>
  <si>
    <t>Castel Engineering
Flexi Kit 
für Optimal Kanal
 80x60
ArtNr.: 4100300</t>
  </si>
  <si>
    <t>Castel Engineering
Flexi Kit 
für Optimal Kanal
 110x75
ArtNr.: 4100700</t>
  </si>
  <si>
    <t>Kabelrinne RKSM Magic mit Schnellverbindung 60x200x3050 St FS
SCHÄCKE Art.Nr.: 
2221977
Hersteller-Art.Nr.: 
6047638
Type: RKSM 620 FS
€/lfm</t>
  </si>
  <si>
    <t>Wand- und Stielausleger mit angeschweißter Kopfplatte B210mm St FT
SCHÄCKE Art.Nr.: 
783153
Hersteller-Art.Nr.: 
6420680
Type: AW 15 21 FT</t>
  </si>
  <si>
    <t>Installationskasten
58471 5 
Kondensatwanne 
E-BOX.VO</t>
  </si>
  <si>
    <t>SIPHON KONDENSWASSERABFLUSS 
135X60X35MM
ALX-6700-000
https://www.linum.eu/de/hvac/kondenswasserpumpen-leitungen/zubehoer-fuer-den-kondensatabfluss-alixo/kondensat-siphons-geruchsverschluesse/alixo-siphon-kondenswasserabfluss-135x60x35mm-alx-6700-000</t>
  </si>
  <si>
    <t>REPARATURSCHALTER 32 A</t>
  </si>
  <si>
    <t>REPARATURSCHALTER 64 A</t>
  </si>
  <si>
    <t>Leitungsführungskanal mit Bodenlochung 60x210 mm reinweiß
SCHÄCKE Art.Nr.: 
1228196
Hersteller-Art.Nr.: 
6191266
Type: WDK60210RW</t>
  </si>
  <si>
    <t>Flachwinkelhaube 60x210mm PVC reinweiß RAL 9010
SCHÄCKE Art.Nr.: 
1228145
Hersteller-Art.Nr.: 
6192971
Type: WDK HF60210RW</t>
  </si>
  <si>
    <t>Außeneckhaube 60x150mm PVC reinweiß RAL 9010
SCHÄCKE Art.Nr.: 
1228234
Hersteller-Art.Nr.: 
6192351
Type: WDK HA60150RW</t>
  </si>
  <si>
    <t>Leitungsführungskanal mit Bodenlochung 60x150 mm reinweiß
SCHÄCKE Art.Nr.: 
904562
Hersteller-Art.Nr.: 
6191231
Type: WDK60150RW</t>
  </si>
  <si>
    <t>Flachwinkelhaube 60x150mm PVC reinweiß RAL 9010
SCHÄCKE Art.Nr.: 
1228218
Hersteller-Art.Nr.: 
6192955
Type: WDK HF60150RW</t>
  </si>
  <si>
    <t>Leitungsführungskanal mit Bodenlochung 60x130 mm reinweiß
Type:WDK60130RW
SCHÄCKE Art.Nr.: 1247999
Hersteller-Art.Nr.6191223</t>
  </si>
  <si>
    <t>Flachwinkelhaube 60x130mm PVC reinweiß RAL 9010
Type:WDK HF60130RW
SCHÄCKE Art.Nr.: 3600149
Hersteller-Art.Nr.6192947</t>
  </si>
  <si>
    <t>Leitungsführungskanal mit Bodenlochung 60x110 mm reinweiß
Type:WDK60110RW
SCHÄCKE Art.Nr.: 1335731
Hersteller-Art.Nr.6191215</t>
  </si>
  <si>
    <t>Flachwinkelhaube 60x110mm PVC reinweiß RAL 9010
Type:WDK HF60110RW
SCHÄCKE Art.Nr.: 1228250
Hersteller-Art.Nr.6192939</t>
  </si>
  <si>
    <t>Inneneckhaube 60x110mm PVC reinweiß RAL 9010
SCHÄCKE Art.Nr.: 
904708
Hersteller-Art.Nr.: 
6192033
Type: WDK/HI 60110</t>
  </si>
  <si>
    <t>Endstück 60x110mm PVC reinweiß RAL 9010
SCHÄCKE Art.Nr.: 
904686
Hersteller-Art.Nr.: 
6193307
Type: WDK/HE 60110</t>
  </si>
  <si>
    <t>Aspen Kondensatpumpe OptimalDuct 
Mini Lime Gen5
ArtNr.: 1650202</t>
  </si>
  <si>
    <t>Aspen Kondensatpumpe 
Mini Aqua Silent+ 
Gen5
ArtNr.: 1551012</t>
  </si>
  <si>
    <t>Tauwasserpumpe Silent+ MINI AQUA
Artikelnummer: 
476592
Werksnummer:
FP3326</t>
  </si>
  <si>
    <r>
      <rPr>
        <b/>
        <sz val="11"/>
        <color rgb="FF00B050"/>
        <rFont val="Aptos Narrow"/>
        <family val="2"/>
        <scheme val="minor"/>
      </rPr>
      <t>KONDENSATPUMPE EASY AQUA</t>
    </r>
    <r>
      <rPr>
        <sz val="11"/>
        <color rgb="FF00B050"/>
        <rFont val="Aptos Narrow"/>
        <family val="2"/>
        <scheme val="minor"/>
      </rPr>
      <t xml:space="preserve">
 19 dB(A) @ 1 M
AS06806</t>
    </r>
  </si>
  <si>
    <r>
      <rPr>
        <b/>
        <sz val="11"/>
        <color rgb="FF00B050"/>
        <rFont val="Aptos Narrow"/>
        <family val="2"/>
        <scheme val="minor"/>
      </rPr>
      <t>KONDENSATPUMPE EASY CORNER</t>
    </r>
    <r>
      <rPr>
        <sz val="11"/>
        <color rgb="FF00B050"/>
        <rFont val="Aptos Narrow"/>
        <family val="2"/>
        <scheme val="minor"/>
      </rPr>
      <t xml:space="preserve">
Niedriger Modus: 12 L/h, 17 dB(A) @ 1 M
Hoher Modus: 20 L/h, 19 dB(A) @ 1 M</t>
    </r>
  </si>
  <si>
    <t>Siccom
Kondensatpumpe Flowatch Design 
DT20 Optimal Duct, 
20 l/h, 16 db(A)
ArtNr.: 1650002</t>
  </si>
  <si>
    <t xml:space="preserve">Aufschraubstutzen AS 3/4x5/8 o.M.745311 (1/2"auf 3/8"-12-10 mm)
Code: 2745311050, 2745311050 </t>
  </si>
  <si>
    <t>Aufschraubstutzen AS 5/8x3/4 o.M.743309(3/8" auf 1/2"-10-12 mm)
Code: 2743309050, 2743309050</t>
  </si>
  <si>
    <t>Selbstzentrierender Cu-Dichtring 3/4"
Code: CY 15590035</t>
  </si>
  <si>
    <t>Dichtring DR 3/4" 619011
Code: 2619011050</t>
  </si>
  <si>
    <t>Selbstzentrierender Cu-Dichtring 5/8"
Code: CY 15590025</t>
  </si>
  <si>
    <t>Dichtring DR 5/8" 619009
Code: 2619009050, 619009</t>
  </si>
  <si>
    <t>Selbstzentrierender Cu-Dichtring 7/16"
Code: CY 15590015</t>
  </si>
  <si>
    <t>Dichtring DR 7/16" 619005
Code: 2619005050, 2619005050, 2619005050</t>
  </si>
  <si>
    <t>REGIO Kugelsiphon (Geruchsstop)
Artikelnummer: 
858580
Werksnummer:
11126322B</t>
  </si>
  <si>
    <t>Niccons
Installationsbox mit Befestigungslaschen, Abfluss seitlich 375x85x64 mm
ArtNr.: 2150050</t>
  </si>
  <si>
    <t xml:space="preserve">Fracht </t>
  </si>
  <si>
    <t>Preis A</t>
  </si>
  <si>
    <r>
      <t xml:space="preserve">MS257, 
</t>
    </r>
    <r>
      <rPr>
        <sz val="11"/>
        <color rgb="FF777777"/>
        <rFont val="Arial"/>
        <family val="2"/>
      </rPr>
      <t>ArtNr.: 1050013</t>
    </r>
  </si>
  <si>
    <t>EK</t>
  </si>
  <si>
    <t>Preis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</si>
</sst>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5" formatCode="_-&quot;€&quot;\ * #,##0_-;\-&quot;€&quot;\ * #,##0_-;_-&quot;€&quot;\ 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b/>
      <sz val="11"/>
      <color theme="8" tint="0.3999755851924192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333333"/>
      <name val="Arial"/>
      <family val="2"/>
    </font>
    <font>
      <sz val="11"/>
      <color rgb="FF777777"/>
      <name val="Arial"/>
      <family val="2"/>
    </font>
    <font>
      <b/>
      <sz val="11"/>
      <color rgb="FF0070C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 wrapText="1"/>
    </xf>
    <xf numFmtId="3" fontId="3" fillId="0" borderId="0" xfId="0" applyNumberFormat="1" applyFont="1" applyAlignment="1">
      <alignment vertical="top" wrapText="1"/>
    </xf>
    <xf numFmtId="0" fontId="5" fillId="0" borderId="1" xfId="0" applyFont="1" applyBorder="1" applyAlignment="1">
      <alignment vertical="top" wrapText="1"/>
    </xf>
    <xf numFmtId="44" fontId="5" fillId="0" borderId="1" xfId="0" applyNumberFormat="1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44" fontId="7" fillId="0" borderId="1" xfId="0" applyNumberFormat="1" applyFont="1" applyBorder="1" applyAlignment="1">
      <alignment vertical="top"/>
    </xf>
    <xf numFmtId="0" fontId="8" fillId="0" borderId="0" xfId="0" applyFont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44" fontId="7" fillId="0" borderId="1" xfId="1" applyFont="1" applyBorder="1" applyAlignment="1">
      <alignment horizontal="center" vertical="top"/>
    </xf>
    <xf numFmtId="0" fontId="0" fillId="0" borderId="2" xfId="0" applyBorder="1" applyAlignment="1">
      <alignment vertical="top" wrapText="1"/>
    </xf>
    <xf numFmtId="0" fontId="0" fillId="0" borderId="1" xfId="0" applyBorder="1" applyAlignment="1">
      <alignment vertical="top"/>
    </xf>
    <xf numFmtId="0" fontId="7" fillId="0" borderId="2" xfId="0" applyFont="1" applyBorder="1" applyAlignment="1">
      <alignment vertical="top" wrapText="1"/>
    </xf>
    <xf numFmtId="0" fontId="4" fillId="0" borderId="1" xfId="2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44" fontId="5" fillId="0" borderId="1" xfId="0" applyNumberFormat="1" applyFont="1" applyBorder="1" applyAlignment="1">
      <alignment vertical="top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/>
    </xf>
    <xf numFmtId="44" fontId="2" fillId="0" borderId="1" xfId="0" applyNumberFormat="1" applyFont="1" applyBorder="1" applyAlignment="1">
      <alignment vertical="top"/>
    </xf>
    <xf numFmtId="0" fontId="11" fillId="0" borderId="1" xfId="0" applyFont="1" applyBorder="1" applyAlignment="1">
      <alignment horizontal="left" vertical="top" wrapText="1"/>
    </xf>
    <xf numFmtId="44" fontId="11" fillId="0" borderId="1" xfId="0" applyNumberFormat="1" applyFont="1" applyBorder="1" applyAlignment="1">
      <alignment horizontal="center" vertical="top"/>
    </xf>
    <xf numFmtId="44" fontId="11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horizontal="left" vertical="top" wrapText="1"/>
    </xf>
    <xf numFmtId="44" fontId="10" fillId="0" borderId="1" xfId="0" applyNumberFormat="1" applyFont="1" applyBorder="1" applyAlignment="1">
      <alignment horizontal="center" vertical="top"/>
    </xf>
    <xf numFmtId="0" fontId="13" fillId="0" borderId="1" xfId="0" applyFont="1" applyBorder="1" applyAlignment="1">
      <alignment horizontal="left" vertical="top" wrapText="1"/>
    </xf>
    <xf numFmtId="44" fontId="13" fillId="0" borderId="1" xfId="0" applyNumberFormat="1" applyFont="1" applyBorder="1" applyAlignment="1">
      <alignment horizontal="center" vertical="top"/>
    </xf>
    <xf numFmtId="0" fontId="12" fillId="0" borderId="1" xfId="0" applyFont="1" applyBorder="1" applyAlignment="1">
      <alignment horizontal="left" vertical="top" wrapText="1"/>
    </xf>
    <xf numFmtId="44" fontId="12" fillId="0" borderId="1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center" vertical="top" wrapText="1"/>
    </xf>
    <xf numFmtId="44" fontId="0" fillId="0" borderId="0" xfId="1" applyFont="1" applyAlignment="1">
      <alignment vertical="top"/>
    </xf>
    <xf numFmtId="165" fontId="0" fillId="0" borderId="0" xfId="1" applyNumberFormat="1" applyFont="1" applyAlignment="1">
      <alignment vertical="top"/>
    </xf>
    <xf numFmtId="165" fontId="0" fillId="0" borderId="0" xfId="0" applyNumberFormat="1" applyAlignment="1">
      <alignment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79</xdr:row>
      <xdr:rowOff>0</xdr:rowOff>
    </xdr:from>
    <xdr:to>
      <xdr:col>1</xdr:col>
      <xdr:colOff>304800</xdr:colOff>
      <xdr:row>83</xdr:row>
      <xdr:rowOff>301214</xdr:rowOff>
    </xdr:to>
    <xdr:sp macro="" textlink="">
      <xdr:nvSpPr>
        <xdr:cNvPr id="2" name="AutoShape 1" descr="Flexible Rohr Duct Flexy Kit 80mm OD.FLEX.80">
          <a:extLst>
            <a:ext uri="{FF2B5EF4-FFF2-40B4-BE49-F238E27FC236}">
              <a16:creationId xmlns:a16="http://schemas.microsoft.com/office/drawing/2014/main" id="{726CBF59-8117-4742-BF87-26608D27B0AD}"/>
            </a:ext>
          </a:extLst>
        </xdr:cNvPr>
        <xdr:cNvSpPr>
          <a:spLocks noChangeAspect="1" noChangeArrowheads="1"/>
        </xdr:cNvSpPr>
      </xdr:nvSpPr>
      <xdr:spPr bwMode="auto">
        <a:xfrm>
          <a:off x="6339840" y="5452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80</xdr:row>
      <xdr:rowOff>0</xdr:rowOff>
    </xdr:from>
    <xdr:ext cx="304800" cy="304800"/>
    <xdr:sp macro="" textlink="">
      <xdr:nvSpPr>
        <xdr:cNvPr id="3" name="AutoShape 1" descr="Flexible Rohr Duct Flexy Kit 80mm OD.FLEX.80">
          <a:extLst>
            <a:ext uri="{FF2B5EF4-FFF2-40B4-BE49-F238E27FC236}">
              <a16:creationId xmlns:a16="http://schemas.microsoft.com/office/drawing/2014/main" id="{EC552500-CC4A-42C0-BB15-8BEAF105254C}"/>
            </a:ext>
          </a:extLst>
        </xdr:cNvPr>
        <xdr:cNvSpPr>
          <a:spLocks noChangeAspect="1" noChangeArrowheads="1"/>
        </xdr:cNvSpPr>
      </xdr:nvSpPr>
      <xdr:spPr bwMode="auto">
        <a:xfrm>
          <a:off x="6339840" y="552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6026D-77EB-4C4F-8D5F-2D4B3B418188}">
  <dimension ref="A1:H118"/>
  <sheetViews>
    <sheetView tabSelected="1" zoomScaleNormal="100" workbookViewId="0">
      <selection activeCell="I4" sqref="I3:I4"/>
    </sheetView>
  </sheetViews>
  <sheetFormatPr baseColWidth="10" defaultRowHeight="14.4" x14ac:dyDescent="0.3"/>
  <cols>
    <col min="1" max="1" width="23.109375" style="1" customWidth="1"/>
    <col min="2" max="2" width="75.5546875" style="1" customWidth="1"/>
    <col min="3" max="3" width="11.5546875" style="1"/>
    <col min="4" max="4" width="24.109375" style="1" customWidth="1"/>
    <col min="5" max="6" width="12.33203125" style="36" customWidth="1"/>
    <col min="7" max="16384" width="11.5546875" style="1"/>
  </cols>
  <sheetData>
    <row r="1" spans="1:8" x14ac:dyDescent="0.3">
      <c r="A1" s="1" t="s">
        <v>0</v>
      </c>
      <c r="C1" s="1" t="s">
        <v>160</v>
      </c>
      <c r="D1" s="1" t="s">
        <v>1</v>
      </c>
      <c r="E1" s="36" t="s">
        <v>163</v>
      </c>
      <c r="F1" s="36" t="s">
        <v>162</v>
      </c>
    </row>
    <row r="2" spans="1:8" x14ac:dyDescent="0.3">
      <c r="A2" s="2">
        <v>5040</v>
      </c>
      <c r="C2" s="1">
        <v>19.613099999999999</v>
      </c>
      <c r="D2" s="1" t="s">
        <v>2</v>
      </c>
      <c r="E2" s="37">
        <f>F2/32*100</f>
        <v>40.860624999999999</v>
      </c>
      <c r="F2" s="37">
        <f>C2/1.5</f>
        <v>13.0754</v>
      </c>
      <c r="G2" s="38"/>
      <c r="H2" s="38"/>
    </row>
    <row r="3" spans="1:8" x14ac:dyDescent="0.3">
      <c r="A3" s="2">
        <v>5039</v>
      </c>
      <c r="C3" s="1">
        <v>29.425000000000001</v>
      </c>
      <c r="D3" s="1" t="s">
        <v>2</v>
      </c>
      <c r="E3" s="37">
        <f t="shared" ref="E3:E66" si="0">F3/32*100</f>
        <v>61.302083333333336</v>
      </c>
      <c r="F3" s="37">
        <f t="shared" ref="F3:F66" si="1">C3/1.5</f>
        <v>19.616666666666667</v>
      </c>
      <c r="G3" s="38"/>
    </row>
    <row r="4" spans="1:8" x14ac:dyDescent="0.3">
      <c r="A4" s="2">
        <v>5038</v>
      </c>
      <c r="C4" s="1">
        <v>58.85</v>
      </c>
      <c r="D4" s="1" t="s">
        <v>2</v>
      </c>
      <c r="E4" s="37">
        <f t="shared" si="0"/>
        <v>122.60416666666667</v>
      </c>
      <c r="F4" s="37">
        <f t="shared" si="1"/>
        <v>39.233333333333334</v>
      </c>
      <c r="G4" s="38"/>
    </row>
    <row r="5" spans="1:8" x14ac:dyDescent="0.3">
      <c r="A5" s="1" t="s">
        <v>159</v>
      </c>
      <c r="B5" s="1" t="s">
        <v>3</v>
      </c>
      <c r="C5" s="1">
        <v>240.75</v>
      </c>
      <c r="D5" s="1" t="s">
        <v>2</v>
      </c>
      <c r="E5" s="37">
        <f t="shared" si="0"/>
        <v>501.5625</v>
      </c>
      <c r="F5" s="37">
        <f t="shared" si="1"/>
        <v>160.5</v>
      </c>
      <c r="G5" s="38"/>
    </row>
    <row r="6" spans="1:8" x14ac:dyDescent="0.3">
      <c r="A6" s="1" t="s">
        <v>4</v>
      </c>
      <c r="B6" s="1" t="s">
        <v>5</v>
      </c>
      <c r="C6" s="1">
        <v>123.05000000000001</v>
      </c>
      <c r="D6" s="1" t="s">
        <v>2</v>
      </c>
      <c r="E6" s="37">
        <f t="shared" si="0"/>
        <v>256.35416666666669</v>
      </c>
      <c r="F6" s="37">
        <f t="shared" si="1"/>
        <v>82.033333333333346</v>
      </c>
      <c r="G6" s="38"/>
    </row>
    <row r="7" spans="1:8" x14ac:dyDescent="0.3">
      <c r="A7" s="1" t="s">
        <v>6</v>
      </c>
      <c r="B7" s="1" t="s">
        <v>7</v>
      </c>
      <c r="C7" s="1">
        <v>155.15</v>
      </c>
      <c r="D7" s="1" t="s">
        <v>2</v>
      </c>
      <c r="E7" s="37">
        <f t="shared" si="0"/>
        <v>323.22916666666669</v>
      </c>
      <c r="F7" s="37">
        <f t="shared" si="1"/>
        <v>103.43333333333334</v>
      </c>
      <c r="G7" s="38"/>
    </row>
    <row r="8" spans="1:8" x14ac:dyDescent="0.3">
      <c r="A8" s="1" t="s">
        <v>8</v>
      </c>
      <c r="B8" s="1" t="s">
        <v>9</v>
      </c>
      <c r="C8" s="1">
        <v>1676.69</v>
      </c>
      <c r="D8" s="1" t="s">
        <v>2</v>
      </c>
      <c r="E8" s="37">
        <f t="shared" si="0"/>
        <v>3493.1041666666665</v>
      </c>
      <c r="F8" s="37">
        <f t="shared" si="1"/>
        <v>1117.7933333333333</v>
      </c>
      <c r="G8" s="38"/>
    </row>
    <row r="9" spans="1:8" x14ac:dyDescent="0.3">
      <c r="A9" s="1" t="s">
        <v>10</v>
      </c>
      <c r="B9" s="1" t="s">
        <v>11</v>
      </c>
      <c r="C9" s="1">
        <v>139.1</v>
      </c>
      <c r="D9" s="1" t="s">
        <v>2</v>
      </c>
      <c r="E9" s="37">
        <f t="shared" si="0"/>
        <v>289.79166666666669</v>
      </c>
      <c r="F9" s="37">
        <f t="shared" si="1"/>
        <v>92.733333333333334</v>
      </c>
      <c r="G9" s="38"/>
    </row>
    <row r="10" spans="1:8" x14ac:dyDescent="0.3">
      <c r="A10" s="1" t="s">
        <v>12</v>
      </c>
      <c r="B10" s="1" t="s">
        <v>13</v>
      </c>
      <c r="C10" s="1">
        <v>80.25</v>
      </c>
      <c r="D10" s="1" t="s">
        <v>2</v>
      </c>
      <c r="E10" s="37">
        <f t="shared" si="0"/>
        <v>167.1875</v>
      </c>
      <c r="F10" s="37">
        <f t="shared" si="1"/>
        <v>53.5</v>
      </c>
      <c r="G10" s="38"/>
    </row>
    <row r="11" spans="1:8" x14ac:dyDescent="0.3">
      <c r="A11" s="1" t="s">
        <v>14</v>
      </c>
      <c r="B11" s="1" t="s">
        <v>15</v>
      </c>
      <c r="C11" s="1">
        <v>255.73000000000002</v>
      </c>
      <c r="D11" s="1" t="s">
        <v>2</v>
      </c>
      <c r="E11" s="37">
        <f t="shared" si="0"/>
        <v>532.77083333333337</v>
      </c>
      <c r="F11" s="37">
        <f t="shared" si="1"/>
        <v>170.48666666666668</v>
      </c>
      <c r="G11" s="38"/>
    </row>
    <row r="12" spans="1:8" x14ac:dyDescent="0.3">
      <c r="A12" s="1" t="s">
        <v>16</v>
      </c>
      <c r="B12" s="1" t="s">
        <v>17</v>
      </c>
      <c r="C12" s="1">
        <v>319.93</v>
      </c>
      <c r="D12" s="1" t="s">
        <v>2</v>
      </c>
      <c r="E12" s="37">
        <f t="shared" si="0"/>
        <v>666.52083333333337</v>
      </c>
      <c r="F12" s="37">
        <f t="shared" si="1"/>
        <v>213.28666666666666</v>
      </c>
    </row>
    <row r="13" spans="1:8" x14ac:dyDescent="0.3">
      <c r="A13" s="1" t="s">
        <v>18</v>
      </c>
      <c r="B13" s="1" t="s">
        <v>19</v>
      </c>
      <c r="C13" s="1">
        <v>426.93</v>
      </c>
      <c r="D13" s="1" t="s">
        <v>2</v>
      </c>
      <c r="E13" s="37">
        <f t="shared" si="0"/>
        <v>889.4375</v>
      </c>
      <c r="F13" s="37">
        <f t="shared" si="1"/>
        <v>284.62</v>
      </c>
    </row>
    <row r="14" spans="1:8" x14ac:dyDescent="0.3">
      <c r="A14" s="1" t="s">
        <v>20</v>
      </c>
      <c r="B14" s="1" t="s">
        <v>21</v>
      </c>
      <c r="C14" s="1">
        <v>640.93000000000006</v>
      </c>
      <c r="D14" s="1" t="s">
        <v>2</v>
      </c>
      <c r="E14" s="37">
        <f t="shared" si="0"/>
        <v>1335.2708333333335</v>
      </c>
      <c r="F14" s="37">
        <f t="shared" si="1"/>
        <v>427.28666666666669</v>
      </c>
    </row>
    <row r="15" spans="1:8" x14ac:dyDescent="0.3">
      <c r="A15" s="1" t="s">
        <v>22</v>
      </c>
      <c r="B15" s="1" t="s">
        <v>23</v>
      </c>
      <c r="C15" s="1">
        <v>533.93000000000006</v>
      </c>
      <c r="D15" s="1" t="s">
        <v>2</v>
      </c>
      <c r="E15" s="37">
        <f t="shared" si="0"/>
        <v>1112.3541666666667</v>
      </c>
      <c r="F15" s="37">
        <f t="shared" si="1"/>
        <v>355.95333333333338</v>
      </c>
    </row>
    <row r="16" spans="1:8" x14ac:dyDescent="0.3">
      <c r="A16" s="1" t="s">
        <v>24</v>
      </c>
      <c r="B16" s="1" t="s">
        <v>25</v>
      </c>
      <c r="C16" s="1">
        <v>308.16000000000003</v>
      </c>
      <c r="D16" s="1" t="s">
        <v>2</v>
      </c>
      <c r="E16" s="37">
        <f t="shared" si="0"/>
        <v>642.00000000000011</v>
      </c>
      <c r="F16" s="37">
        <f t="shared" si="1"/>
        <v>205.44000000000003</v>
      </c>
    </row>
    <row r="17" spans="1:6" x14ac:dyDescent="0.3">
      <c r="A17" s="1" t="s">
        <v>26</v>
      </c>
      <c r="B17" s="1" t="s">
        <v>27</v>
      </c>
      <c r="C17" s="1">
        <v>80.25</v>
      </c>
      <c r="D17" s="1" t="s">
        <v>2</v>
      </c>
      <c r="E17" s="37">
        <f t="shared" si="0"/>
        <v>167.1875</v>
      </c>
      <c r="F17" s="37">
        <f t="shared" si="1"/>
        <v>53.5</v>
      </c>
    </row>
    <row r="18" spans="1:6" x14ac:dyDescent="0.3">
      <c r="A18" s="1" t="s">
        <v>28</v>
      </c>
      <c r="B18" s="1" t="s">
        <v>29</v>
      </c>
      <c r="C18" s="1">
        <v>640.93000000000006</v>
      </c>
      <c r="D18" s="1" t="s">
        <v>2</v>
      </c>
      <c r="E18" s="37">
        <f t="shared" si="0"/>
        <v>1335.2708333333335</v>
      </c>
      <c r="F18" s="37">
        <f t="shared" si="1"/>
        <v>427.28666666666669</v>
      </c>
    </row>
    <row r="19" spans="1:6" x14ac:dyDescent="0.3">
      <c r="A19" s="1" t="s">
        <v>30</v>
      </c>
      <c r="B19" s="1" t="s">
        <v>31</v>
      </c>
      <c r="C19" s="1">
        <v>705.13</v>
      </c>
      <c r="D19" s="1" t="s">
        <v>2</v>
      </c>
      <c r="E19" s="37">
        <f t="shared" si="0"/>
        <v>1469.0208333333333</v>
      </c>
      <c r="F19" s="37">
        <f t="shared" si="1"/>
        <v>470.08666666666664</v>
      </c>
    </row>
    <row r="20" spans="1:6" x14ac:dyDescent="0.3">
      <c r="A20" s="1" t="s">
        <v>32</v>
      </c>
      <c r="B20" s="1" t="s">
        <v>33</v>
      </c>
      <c r="C20" s="1">
        <v>84.53</v>
      </c>
      <c r="D20" s="1" t="s">
        <v>2</v>
      </c>
      <c r="E20" s="37">
        <f t="shared" si="0"/>
        <v>176.10416666666666</v>
      </c>
      <c r="F20" s="37">
        <f t="shared" si="1"/>
        <v>56.353333333333332</v>
      </c>
    </row>
    <row r="21" spans="1:6" x14ac:dyDescent="0.3">
      <c r="A21" s="1" t="s">
        <v>34</v>
      </c>
      <c r="B21" s="1" t="s">
        <v>35</v>
      </c>
      <c r="C21" s="1">
        <v>90.95</v>
      </c>
      <c r="D21" s="1" t="s">
        <v>2</v>
      </c>
      <c r="E21" s="37">
        <f t="shared" si="0"/>
        <v>189.47916666666666</v>
      </c>
      <c r="F21" s="37">
        <f t="shared" si="1"/>
        <v>60.633333333333333</v>
      </c>
    </row>
    <row r="22" spans="1:6" x14ac:dyDescent="0.3">
      <c r="A22" s="1" t="s">
        <v>36</v>
      </c>
      <c r="B22" s="1" t="s">
        <v>37</v>
      </c>
      <c r="C22" s="1">
        <v>133.75</v>
      </c>
      <c r="D22" s="1" t="s">
        <v>2</v>
      </c>
      <c r="E22" s="37">
        <f t="shared" si="0"/>
        <v>278.64583333333337</v>
      </c>
      <c r="F22" s="37">
        <f t="shared" si="1"/>
        <v>89.166666666666671</v>
      </c>
    </row>
    <row r="23" spans="1:6" x14ac:dyDescent="0.3">
      <c r="A23" s="1" t="s">
        <v>38</v>
      </c>
      <c r="B23" s="1" t="s">
        <v>39</v>
      </c>
      <c r="C23" s="1">
        <v>85.600000000000009</v>
      </c>
      <c r="D23" s="1" t="s">
        <v>2</v>
      </c>
      <c r="E23" s="37">
        <f t="shared" si="0"/>
        <v>178.33333333333334</v>
      </c>
      <c r="F23" s="37">
        <f t="shared" si="1"/>
        <v>57.06666666666667</v>
      </c>
    </row>
    <row r="24" spans="1:6" x14ac:dyDescent="0.3">
      <c r="A24" s="1" t="s">
        <v>40</v>
      </c>
      <c r="B24" s="1" t="s">
        <v>41</v>
      </c>
      <c r="C24" s="1">
        <v>319.93</v>
      </c>
      <c r="D24" s="1" t="s">
        <v>2</v>
      </c>
      <c r="E24" s="37">
        <f t="shared" si="0"/>
        <v>666.52083333333337</v>
      </c>
      <c r="F24" s="37">
        <f t="shared" si="1"/>
        <v>213.28666666666666</v>
      </c>
    </row>
    <row r="25" spans="1:6" x14ac:dyDescent="0.3">
      <c r="A25" s="1" t="s">
        <v>42</v>
      </c>
      <c r="B25" s="1" t="s">
        <v>43</v>
      </c>
      <c r="C25" s="1">
        <v>533.93000000000006</v>
      </c>
      <c r="D25" s="1" t="s">
        <v>2</v>
      </c>
      <c r="E25" s="37">
        <f t="shared" si="0"/>
        <v>1112.3541666666667</v>
      </c>
      <c r="F25" s="37">
        <f t="shared" si="1"/>
        <v>355.95333333333338</v>
      </c>
    </row>
    <row r="26" spans="1:6" x14ac:dyDescent="0.3">
      <c r="A26" s="1" t="s">
        <v>44</v>
      </c>
      <c r="B26" s="1" t="s">
        <v>45</v>
      </c>
      <c r="C26" s="1">
        <v>426.93</v>
      </c>
      <c r="D26" s="1" t="s">
        <v>2</v>
      </c>
      <c r="E26" s="37">
        <f t="shared" si="0"/>
        <v>889.4375</v>
      </c>
      <c r="F26" s="37">
        <f t="shared" si="1"/>
        <v>284.62</v>
      </c>
    </row>
    <row r="27" spans="1:6" x14ac:dyDescent="0.3">
      <c r="A27" s="1" t="s">
        <v>46</v>
      </c>
      <c r="B27" s="1" t="s">
        <v>47</v>
      </c>
      <c r="C27" s="1">
        <v>319.93</v>
      </c>
      <c r="D27" s="1" t="s">
        <v>2</v>
      </c>
      <c r="E27" s="37">
        <f t="shared" si="0"/>
        <v>666.52083333333337</v>
      </c>
      <c r="F27" s="37">
        <f t="shared" si="1"/>
        <v>213.28666666666666</v>
      </c>
    </row>
    <row r="28" spans="1:6" x14ac:dyDescent="0.3">
      <c r="A28" s="1" t="s">
        <v>48</v>
      </c>
      <c r="B28" s="1" t="s">
        <v>49</v>
      </c>
      <c r="C28" s="1">
        <v>449.40000000000003</v>
      </c>
      <c r="D28" s="1" t="s">
        <v>2</v>
      </c>
      <c r="E28" s="37">
        <f t="shared" si="0"/>
        <v>936.25000000000011</v>
      </c>
      <c r="F28" s="37">
        <f t="shared" si="1"/>
        <v>299.60000000000002</v>
      </c>
    </row>
    <row r="29" spans="1:6" x14ac:dyDescent="0.3">
      <c r="A29" s="1" t="s">
        <v>50</v>
      </c>
      <c r="B29" s="1" t="s">
        <v>51</v>
      </c>
      <c r="C29" s="1">
        <v>406.6</v>
      </c>
      <c r="D29" s="1" t="s">
        <v>2</v>
      </c>
      <c r="E29" s="37">
        <f t="shared" si="0"/>
        <v>847.08333333333337</v>
      </c>
      <c r="F29" s="37">
        <f t="shared" si="1"/>
        <v>271.06666666666666</v>
      </c>
    </row>
    <row r="30" spans="1:6" x14ac:dyDescent="0.3">
      <c r="A30" s="1" t="s">
        <v>52</v>
      </c>
      <c r="B30" s="1" t="s">
        <v>53</v>
      </c>
      <c r="C30" s="1">
        <v>385.20000000000005</v>
      </c>
      <c r="D30" s="1" t="s">
        <v>2</v>
      </c>
      <c r="E30" s="37">
        <f t="shared" si="0"/>
        <v>802.5</v>
      </c>
      <c r="F30" s="37">
        <f t="shared" si="1"/>
        <v>256.8</v>
      </c>
    </row>
    <row r="31" spans="1:6" x14ac:dyDescent="0.3">
      <c r="A31" s="1" t="s">
        <v>54</v>
      </c>
      <c r="B31" s="1" t="s">
        <v>55</v>
      </c>
      <c r="C31" s="1">
        <v>287.83000000000004</v>
      </c>
      <c r="D31" s="1" t="s">
        <v>2</v>
      </c>
      <c r="E31" s="37">
        <f t="shared" si="0"/>
        <v>599.64583333333337</v>
      </c>
      <c r="F31" s="37">
        <f t="shared" si="1"/>
        <v>191.88666666666668</v>
      </c>
    </row>
    <row r="32" spans="1:6" x14ac:dyDescent="0.3">
      <c r="A32" s="1" t="s">
        <v>56</v>
      </c>
      <c r="B32" s="1" t="s">
        <v>57</v>
      </c>
      <c r="C32" s="1">
        <v>100.58000000000001</v>
      </c>
      <c r="D32" s="1" t="s">
        <v>2</v>
      </c>
      <c r="E32" s="37">
        <f t="shared" si="0"/>
        <v>209.54166666666669</v>
      </c>
      <c r="F32" s="37">
        <f t="shared" si="1"/>
        <v>67.053333333333342</v>
      </c>
    </row>
    <row r="33" spans="1:6" x14ac:dyDescent="0.3">
      <c r="A33" s="1" t="s">
        <v>58</v>
      </c>
      <c r="B33" s="1" t="s">
        <v>59</v>
      </c>
      <c r="C33" s="1">
        <v>53.5</v>
      </c>
      <c r="D33" s="1" t="s">
        <v>2</v>
      </c>
      <c r="E33" s="37">
        <f t="shared" si="0"/>
        <v>111.45833333333333</v>
      </c>
      <c r="F33" s="37">
        <f t="shared" si="1"/>
        <v>35.666666666666664</v>
      </c>
    </row>
    <row r="34" spans="1:6" x14ac:dyDescent="0.3">
      <c r="A34" s="1" t="s">
        <v>60</v>
      </c>
      <c r="B34" s="1" t="s">
        <v>61</v>
      </c>
      <c r="C34" s="1">
        <v>139.1</v>
      </c>
      <c r="D34" s="1" t="s">
        <v>2</v>
      </c>
      <c r="E34" s="37">
        <f t="shared" si="0"/>
        <v>289.79166666666669</v>
      </c>
      <c r="F34" s="37">
        <f t="shared" si="1"/>
        <v>92.733333333333334</v>
      </c>
    </row>
    <row r="35" spans="1:6" x14ac:dyDescent="0.3">
      <c r="A35" s="1" t="s">
        <v>62</v>
      </c>
      <c r="B35" s="1" t="s">
        <v>63</v>
      </c>
      <c r="C35" s="1">
        <v>0</v>
      </c>
      <c r="D35" s="1" t="s">
        <v>2</v>
      </c>
      <c r="E35" s="37">
        <f t="shared" si="0"/>
        <v>0</v>
      </c>
      <c r="F35" s="37">
        <f t="shared" si="1"/>
        <v>0</v>
      </c>
    </row>
    <row r="36" spans="1:6" x14ac:dyDescent="0.3">
      <c r="A36" s="1" t="s">
        <v>64</v>
      </c>
      <c r="B36" s="1" t="s">
        <v>65</v>
      </c>
      <c r="C36" s="1">
        <v>304.95000000000005</v>
      </c>
      <c r="D36" s="1" t="s">
        <v>2</v>
      </c>
      <c r="E36" s="37">
        <f t="shared" si="0"/>
        <v>635.31250000000011</v>
      </c>
      <c r="F36" s="37">
        <f t="shared" si="1"/>
        <v>203.30000000000004</v>
      </c>
    </row>
    <row r="37" spans="1:6" x14ac:dyDescent="0.3">
      <c r="A37" s="1" t="s">
        <v>66</v>
      </c>
      <c r="B37" s="1" t="s">
        <v>67</v>
      </c>
      <c r="C37" s="1">
        <v>373.43</v>
      </c>
      <c r="D37" s="1" t="s">
        <v>2</v>
      </c>
      <c r="E37" s="37">
        <f t="shared" si="0"/>
        <v>777.97916666666674</v>
      </c>
      <c r="F37" s="37">
        <f t="shared" si="1"/>
        <v>248.95333333333335</v>
      </c>
    </row>
    <row r="38" spans="1:6" x14ac:dyDescent="0.3">
      <c r="A38" s="1" t="s">
        <v>68</v>
      </c>
      <c r="B38" s="1" t="s">
        <v>69</v>
      </c>
      <c r="C38" s="1">
        <v>406.6</v>
      </c>
      <c r="D38" s="1" t="s">
        <v>2</v>
      </c>
      <c r="E38" s="37">
        <f t="shared" si="0"/>
        <v>847.08333333333337</v>
      </c>
      <c r="F38" s="37">
        <f t="shared" si="1"/>
        <v>271.06666666666666</v>
      </c>
    </row>
    <row r="39" spans="1:6" x14ac:dyDescent="0.3">
      <c r="A39" s="1" t="s">
        <v>70</v>
      </c>
      <c r="B39" s="1" t="s">
        <v>69</v>
      </c>
      <c r="C39" s="1">
        <v>469.73</v>
      </c>
      <c r="D39" s="1" t="s">
        <v>2</v>
      </c>
      <c r="E39" s="37">
        <f t="shared" si="0"/>
        <v>978.60416666666674</v>
      </c>
      <c r="F39" s="37">
        <f t="shared" si="1"/>
        <v>313.15333333333336</v>
      </c>
    </row>
    <row r="40" spans="1:6" x14ac:dyDescent="0.3">
      <c r="A40" s="1" t="s">
        <v>71</v>
      </c>
      <c r="B40" s="1" t="s">
        <v>69</v>
      </c>
      <c r="C40" s="1">
        <v>533.93000000000006</v>
      </c>
      <c r="D40" s="1" t="s">
        <v>2</v>
      </c>
      <c r="E40" s="37">
        <f t="shared" si="0"/>
        <v>1112.3541666666667</v>
      </c>
      <c r="F40" s="37">
        <f t="shared" si="1"/>
        <v>355.95333333333338</v>
      </c>
    </row>
    <row r="41" spans="1:6" x14ac:dyDescent="0.3">
      <c r="A41" s="1" t="s">
        <v>72</v>
      </c>
      <c r="B41" s="1" t="s">
        <v>69</v>
      </c>
      <c r="C41" s="1">
        <v>588.5</v>
      </c>
      <c r="D41" s="1" t="s">
        <v>2</v>
      </c>
      <c r="E41" s="37">
        <f t="shared" si="0"/>
        <v>1226.0416666666665</v>
      </c>
      <c r="F41" s="37">
        <f t="shared" si="1"/>
        <v>392.33333333333331</v>
      </c>
    </row>
    <row r="42" spans="1:6" x14ac:dyDescent="0.3">
      <c r="A42" s="1" t="s">
        <v>73</v>
      </c>
      <c r="B42" s="1" t="s">
        <v>74</v>
      </c>
      <c r="C42" s="1">
        <v>266.43</v>
      </c>
      <c r="D42" s="1" t="s">
        <v>2</v>
      </c>
      <c r="E42" s="37">
        <f t="shared" si="0"/>
        <v>555.0625</v>
      </c>
      <c r="F42" s="37">
        <f t="shared" si="1"/>
        <v>177.62</v>
      </c>
    </row>
    <row r="43" spans="1:6" x14ac:dyDescent="0.3">
      <c r="A43" s="1" t="s">
        <v>75</v>
      </c>
      <c r="B43" s="1" t="s">
        <v>76</v>
      </c>
      <c r="C43" s="1">
        <v>69.55</v>
      </c>
      <c r="D43" s="1" t="s">
        <v>2</v>
      </c>
      <c r="E43" s="37">
        <f t="shared" si="0"/>
        <v>144.89583333333334</v>
      </c>
      <c r="F43" s="37">
        <f t="shared" si="1"/>
        <v>46.366666666666667</v>
      </c>
    </row>
    <row r="44" spans="1:6" x14ac:dyDescent="0.3">
      <c r="A44" s="1" t="s">
        <v>77</v>
      </c>
      <c r="B44" s="1" t="s">
        <v>78</v>
      </c>
      <c r="C44" s="1">
        <v>0</v>
      </c>
      <c r="D44" s="1" t="s">
        <v>2</v>
      </c>
      <c r="E44" s="37">
        <f t="shared" si="0"/>
        <v>0</v>
      </c>
      <c r="F44" s="37">
        <f t="shared" si="1"/>
        <v>0</v>
      </c>
    </row>
    <row r="45" spans="1:6" x14ac:dyDescent="0.3">
      <c r="A45" s="1" t="s">
        <v>79</v>
      </c>
      <c r="B45" s="1" t="s">
        <v>80</v>
      </c>
      <c r="C45" s="1">
        <v>200.09</v>
      </c>
      <c r="D45" s="1" t="s">
        <v>2</v>
      </c>
      <c r="E45" s="37">
        <f t="shared" si="0"/>
        <v>416.85416666666669</v>
      </c>
      <c r="F45" s="37">
        <f t="shared" si="1"/>
        <v>133.39333333333335</v>
      </c>
    </row>
    <row r="46" spans="1:6" x14ac:dyDescent="0.3">
      <c r="A46" s="1" t="s">
        <v>81</v>
      </c>
      <c r="B46" s="1" t="s">
        <v>82</v>
      </c>
      <c r="C46" s="1">
        <v>214</v>
      </c>
      <c r="D46" s="1" t="s">
        <v>2</v>
      </c>
      <c r="E46" s="37">
        <f t="shared" si="0"/>
        <v>445.83333333333331</v>
      </c>
      <c r="F46" s="37">
        <f t="shared" si="1"/>
        <v>142.66666666666666</v>
      </c>
    </row>
    <row r="47" spans="1:6" x14ac:dyDescent="0.3">
      <c r="A47" s="1" t="s">
        <v>83</v>
      </c>
      <c r="B47" s="1" t="s">
        <v>84</v>
      </c>
      <c r="C47" s="1">
        <v>267.5</v>
      </c>
      <c r="D47" s="1" t="s">
        <v>2</v>
      </c>
      <c r="E47" s="37">
        <f t="shared" si="0"/>
        <v>557.29166666666674</v>
      </c>
      <c r="F47" s="37">
        <f t="shared" si="1"/>
        <v>178.33333333333334</v>
      </c>
    </row>
    <row r="48" spans="1:6" x14ac:dyDescent="0.3">
      <c r="A48" s="1" t="s">
        <v>85</v>
      </c>
      <c r="B48" s="1" t="s">
        <v>86</v>
      </c>
      <c r="C48" s="1">
        <v>0</v>
      </c>
      <c r="D48" s="1" t="s">
        <v>2</v>
      </c>
      <c r="E48" s="37">
        <f t="shared" si="0"/>
        <v>0</v>
      </c>
      <c r="F48" s="37">
        <f t="shared" si="1"/>
        <v>0</v>
      </c>
    </row>
    <row r="49" spans="1:6" x14ac:dyDescent="0.3">
      <c r="A49" s="1" t="s">
        <v>87</v>
      </c>
      <c r="B49" s="1" t="s">
        <v>84</v>
      </c>
      <c r="C49" s="1">
        <v>214</v>
      </c>
      <c r="D49" s="1" t="s">
        <v>2</v>
      </c>
      <c r="E49" s="37">
        <f t="shared" si="0"/>
        <v>445.83333333333331</v>
      </c>
      <c r="F49" s="37">
        <f t="shared" si="1"/>
        <v>142.66666666666666</v>
      </c>
    </row>
    <row r="50" spans="1:6" x14ac:dyDescent="0.3">
      <c r="A50" s="1" t="s">
        <v>88</v>
      </c>
      <c r="B50" s="1" t="s">
        <v>82</v>
      </c>
      <c r="C50" s="1">
        <v>267.5</v>
      </c>
      <c r="D50" s="1" t="s">
        <v>2</v>
      </c>
      <c r="E50" s="37">
        <f t="shared" si="0"/>
        <v>557.29166666666674</v>
      </c>
      <c r="F50" s="37">
        <f t="shared" si="1"/>
        <v>178.33333333333334</v>
      </c>
    </row>
    <row r="51" spans="1:6" x14ac:dyDescent="0.3">
      <c r="A51" s="1" t="s">
        <v>89</v>
      </c>
      <c r="B51" s="1" t="s">
        <v>90</v>
      </c>
      <c r="C51" s="1">
        <v>85.600000000000009</v>
      </c>
      <c r="D51" s="1" t="s">
        <v>2</v>
      </c>
      <c r="E51" s="37">
        <f t="shared" si="0"/>
        <v>178.33333333333334</v>
      </c>
      <c r="F51" s="37">
        <f t="shared" si="1"/>
        <v>57.06666666666667</v>
      </c>
    </row>
    <row r="52" spans="1:6" x14ac:dyDescent="0.3">
      <c r="A52" s="1" t="s">
        <v>91</v>
      </c>
      <c r="B52" s="1" t="s">
        <v>76</v>
      </c>
      <c r="C52" s="1">
        <v>69.55</v>
      </c>
      <c r="D52" s="1" t="s">
        <v>2</v>
      </c>
      <c r="E52" s="37">
        <f t="shared" si="0"/>
        <v>144.89583333333334</v>
      </c>
      <c r="F52" s="37">
        <f t="shared" si="1"/>
        <v>46.366666666666667</v>
      </c>
    </row>
    <row r="53" spans="1:6" ht="140.4" x14ac:dyDescent="0.3">
      <c r="A53" s="1" t="s">
        <v>92</v>
      </c>
      <c r="B53" s="3" t="s">
        <v>93</v>
      </c>
      <c r="C53" s="1">
        <v>30.816000000000003</v>
      </c>
      <c r="D53" s="1" t="s">
        <v>2</v>
      </c>
      <c r="E53" s="37">
        <f t="shared" si="0"/>
        <v>64.2</v>
      </c>
      <c r="F53" s="37">
        <f t="shared" si="1"/>
        <v>20.544</v>
      </c>
    </row>
    <row r="54" spans="1:6" ht="140.4" x14ac:dyDescent="0.3">
      <c r="A54" s="1" t="s">
        <v>94</v>
      </c>
      <c r="B54" s="3" t="s">
        <v>95</v>
      </c>
      <c r="C54" s="1">
        <v>42.372000000000007</v>
      </c>
      <c r="D54" s="1" t="s">
        <v>2</v>
      </c>
      <c r="E54" s="37">
        <f t="shared" si="0"/>
        <v>88.27500000000002</v>
      </c>
      <c r="F54" s="37">
        <f t="shared" si="1"/>
        <v>28.248000000000005</v>
      </c>
    </row>
    <row r="55" spans="1:6" ht="129.6" x14ac:dyDescent="0.3">
      <c r="A55" s="1" t="s">
        <v>96</v>
      </c>
      <c r="B55" s="4" t="s">
        <v>97</v>
      </c>
      <c r="C55" s="1">
        <v>61.632000000000005</v>
      </c>
      <c r="D55" s="1" t="s">
        <v>2</v>
      </c>
      <c r="E55" s="37">
        <f t="shared" si="0"/>
        <v>128.4</v>
      </c>
      <c r="F55" s="37">
        <f t="shared" si="1"/>
        <v>41.088000000000001</v>
      </c>
    </row>
    <row r="56" spans="1:6" ht="378" x14ac:dyDescent="0.3">
      <c r="A56" s="1" t="s">
        <v>98</v>
      </c>
      <c r="B56" s="3" t="s">
        <v>99</v>
      </c>
      <c r="C56" s="1">
        <v>92.448000000000008</v>
      </c>
      <c r="D56" s="1" t="s">
        <v>2</v>
      </c>
      <c r="E56" s="37">
        <f t="shared" si="0"/>
        <v>192.60000000000002</v>
      </c>
      <c r="F56" s="37">
        <f t="shared" si="1"/>
        <v>61.632000000000005</v>
      </c>
    </row>
    <row r="57" spans="1:6" ht="140.4" x14ac:dyDescent="0.3">
      <c r="A57" s="1" t="s">
        <v>100</v>
      </c>
      <c r="B57" s="3" t="s">
        <v>101</v>
      </c>
      <c r="C57" s="1">
        <v>95.872000000000014</v>
      </c>
      <c r="D57" s="1" t="s">
        <v>2</v>
      </c>
      <c r="E57" s="37">
        <f t="shared" si="0"/>
        <v>199.73333333333335</v>
      </c>
      <c r="F57" s="37">
        <f t="shared" si="1"/>
        <v>63.914666666666676</v>
      </c>
    </row>
    <row r="58" spans="1:6" x14ac:dyDescent="0.3">
      <c r="C58" s="1">
        <v>0</v>
      </c>
      <c r="D58" s="1" t="s">
        <v>2</v>
      </c>
      <c r="E58" s="37">
        <f t="shared" si="0"/>
        <v>0</v>
      </c>
      <c r="F58" s="37">
        <f t="shared" si="1"/>
        <v>0</v>
      </c>
    </row>
    <row r="59" spans="1:6" ht="100.8" customHeight="1" x14ac:dyDescent="0.3">
      <c r="A59" s="5" t="s">
        <v>102</v>
      </c>
      <c r="B59" s="5" t="s">
        <v>102</v>
      </c>
      <c r="C59" s="6">
        <v>19.776</v>
      </c>
      <c r="D59" s="1" t="s">
        <v>2</v>
      </c>
      <c r="E59" s="37">
        <f t="shared" si="0"/>
        <v>41.199999999999996</v>
      </c>
      <c r="F59" s="37">
        <f t="shared" si="1"/>
        <v>13.183999999999999</v>
      </c>
    </row>
    <row r="60" spans="1:6" ht="100.8" customHeight="1" x14ac:dyDescent="0.3">
      <c r="A60" s="5" t="s">
        <v>103</v>
      </c>
      <c r="B60" s="5" t="s">
        <v>103</v>
      </c>
      <c r="C60" s="6">
        <v>26.400000000000002</v>
      </c>
      <c r="D60" s="1" t="s">
        <v>2</v>
      </c>
      <c r="E60" s="37">
        <f t="shared" si="0"/>
        <v>55.000000000000007</v>
      </c>
      <c r="F60" s="37">
        <f t="shared" si="1"/>
        <v>17.600000000000001</v>
      </c>
    </row>
    <row r="61" spans="1:6" ht="72" customHeight="1" x14ac:dyDescent="0.3">
      <c r="A61" s="7" t="s">
        <v>104</v>
      </c>
      <c r="B61" s="7" t="s">
        <v>104</v>
      </c>
      <c r="C61" s="8">
        <v>31.84</v>
      </c>
      <c r="D61" s="1" t="s">
        <v>2</v>
      </c>
      <c r="E61" s="37">
        <f t="shared" si="0"/>
        <v>66.333333333333329</v>
      </c>
      <c r="F61" s="37">
        <f t="shared" si="1"/>
        <v>21.226666666666667</v>
      </c>
    </row>
    <row r="62" spans="1:6" ht="86.4" customHeight="1" x14ac:dyDescent="0.3">
      <c r="A62" s="7" t="s">
        <v>105</v>
      </c>
      <c r="B62" s="7" t="s">
        <v>105</v>
      </c>
      <c r="C62" s="8">
        <v>4.4159999999999995</v>
      </c>
      <c r="D62" s="1" t="s">
        <v>2</v>
      </c>
      <c r="E62" s="37">
        <f t="shared" si="0"/>
        <v>9.1999999999999993</v>
      </c>
      <c r="F62" s="37">
        <f t="shared" si="1"/>
        <v>2.9439999999999995</v>
      </c>
    </row>
    <row r="63" spans="1:6" ht="43.2" customHeight="1" x14ac:dyDescent="0.3">
      <c r="A63" s="7" t="s">
        <v>106</v>
      </c>
      <c r="B63" s="7" t="s">
        <v>106</v>
      </c>
      <c r="C63" s="8">
        <v>302.40000000000003</v>
      </c>
      <c r="D63" s="1" t="s">
        <v>2</v>
      </c>
      <c r="E63" s="37">
        <f t="shared" si="0"/>
        <v>630.00000000000011</v>
      </c>
      <c r="F63" s="37">
        <f t="shared" si="1"/>
        <v>201.60000000000002</v>
      </c>
    </row>
    <row r="64" spans="1:6" ht="43.2" customHeight="1" x14ac:dyDescent="0.3">
      <c r="A64" s="7" t="s">
        <v>107</v>
      </c>
      <c r="B64" s="7" t="s">
        <v>107</v>
      </c>
      <c r="C64" s="8">
        <v>280</v>
      </c>
      <c r="D64" s="1" t="s">
        <v>2</v>
      </c>
      <c r="E64" s="37">
        <f t="shared" si="0"/>
        <v>583.33333333333326</v>
      </c>
      <c r="F64" s="37">
        <f t="shared" si="1"/>
        <v>186.66666666666666</v>
      </c>
    </row>
    <row r="65" spans="1:6" ht="43.2" customHeight="1" x14ac:dyDescent="0.3">
      <c r="A65" s="7" t="s">
        <v>108</v>
      </c>
      <c r="B65" s="7" t="s">
        <v>108</v>
      </c>
      <c r="C65" s="8">
        <v>103.36</v>
      </c>
      <c r="D65" s="1" t="s">
        <v>2</v>
      </c>
      <c r="E65" s="37">
        <f t="shared" si="0"/>
        <v>215.33333333333334</v>
      </c>
      <c r="F65" s="37">
        <f t="shared" si="1"/>
        <v>68.906666666666666</v>
      </c>
    </row>
    <row r="66" spans="1:6" ht="28.8" customHeight="1" x14ac:dyDescent="0.3">
      <c r="A66" s="7" t="s">
        <v>109</v>
      </c>
      <c r="B66" s="7" t="s">
        <v>109</v>
      </c>
      <c r="C66" s="8">
        <v>56.112000000000002</v>
      </c>
      <c r="D66" s="1" t="s">
        <v>2</v>
      </c>
      <c r="E66" s="37">
        <f t="shared" si="0"/>
        <v>116.9</v>
      </c>
      <c r="F66" s="37">
        <f t="shared" si="1"/>
        <v>37.408000000000001</v>
      </c>
    </row>
    <row r="67" spans="1:6" ht="72" customHeight="1" x14ac:dyDescent="0.3">
      <c r="A67" s="7" t="s">
        <v>110</v>
      </c>
      <c r="B67" s="7" t="s">
        <v>110</v>
      </c>
      <c r="C67" s="8">
        <v>31.680000000000003</v>
      </c>
      <c r="D67" s="1" t="s">
        <v>2</v>
      </c>
      <c r="E67" s="37">
        <f t="shared" ref="E67:E118" si="2">F67/32*100</f>
        <v>66</v>
      </c>
      <c r="F67" s="37">
        <f t="shared" ref="F67:F118" si="3">C67/1.5</f>
        <v>21.12</v>
      </c>
    </row>
    <row r="68" spans="1:6" ht="69" customHeight="1" x14ac:dyDescent="0.3">
      <c r="A68" s="9" t="s">
        <v>161</v>
      </c>
      <c r="B68" s="9" t="s">
        <v>111</v>
      </c>
      <c r="C68" s="8">
        <v>28.8</v>
      </c>
      <c r="D68" s="1" t="s">
        <v>2</v>
      </c>
      <c r="E68" s="37">
        <f t="shared" si="2"/>
        <v>60</v>
      </c>
      <c r="F68" s="37">
        <f t="shared" si="3"/>
        <v>19.2</v>
      </c>
    </row>
    <row r="69" spans="1:6" ht="57.6" customHeight="1" x14ac:dyDescent="0.3">
      <c r="A69" s="7" t="s">
        <v>112</v>
      </c>
      <c r="B69" s="7" t="s">
        <v>112</v>
      </c>
      <c r="C69" s="8">
        <v>26.160000000000004</v>
      </c>
      <c r="D69" s="1" t="s">
        <v>2</v>
      </c>
      <c r="E69" s="37">
        <f t="shared" si="2"/>
        <v>54.500000000000007</v>
      </c>
      <c r="F69" s="37">
        <f t="shared" si="3"/>
        <v>17.440000000000001</v>
      </c>
    </row>
    <row r="70" spans="1:6" ht="57.6" customHeight="1" x14ac:dyDescent="0.3">
      <c r="A70" s="11" t="s">
        <v>113</v>
      </c>
      <c r="B70" s="11" t="s">
        <v>113</v>
      </c>
      <c r="C70" s="8">
        <v>57.6</v>
      </c>
      <c r="D70" s="1" t="s">
        <v>2</v>
      </c>
      <c r="E70" s="37">
        <f t="shared" si="2"/>
        <v>120</v>
      </c>
      <c r="F70" s="37">
        <f t="shared" si="3"/>
        <v>38.4</v>
      </c>
    </row>
    <row r="71" spans="1:6" ht="43.2" customHeight="1" x14ac:dyDescent="0.3">
      <c r="A71" s="11" t="s">
        <v>114</v>
      </c>
      <c r="B71" s="11" t="s">
        <v>114</v>
      </c>
      <c r="C71" s="8">
        <v>68.8</v>
      </c>
      <c r="D71" s="1" t="s">
        <v>2</v>
      </c>
      <c r="E71" s="37">
        <f t="shared" si="2"/>
        <v>143.33333333333334</v>
      </c>
      <c r="F71" s="37">
        <f t="shared" si="3"/>
        <v>45.866666666666667</v>
      </c>
    </row>
    <row r="72" spans="1:6" ht="72" customHeight="1" x14ac:dyDescent="0.3">
      <c r="A72" s="13" t="s">
        <v>115</v>
      </c>
      <c r="B72" s="13" t="s">
        <v>115</v>
      </c>
      <c r="C72" s="8">
        <v>99.2</v>
      </c>
      <c r="D72" s="1" t="s">
        <v>2</v>
      </c>
      <c r="E72" s="37">
        <f t="shared" si="2"/>
        <v>206.66666666666669</v>
      </c>
      <c r="F72" s="37">
        <f t="shared" si="3"/>
        <v>66.13333333333334</v>
      </c>
    </row>
    <row r="73" spans="1:6" x14ac:dyDescent="0.3">
      <c r="A73" s="13"/>
      <c r="B73" s="13"/>
      <c r="C73" s="8">
        <v>0</v>
      </c>
      <c r="D73" s="1" t="s">
        <v>2</v>
      </c>
      <c r="E73" s="37">
        <f t="shared" si="2"/>
        <v>0</v>
      </c>
      <c r="F73" s="37">
        <f t="shared" si="3"/>
        <v>0</v>
      </c>
    </row>
    <row r="74" spans="1:6" ht="86.4" x14ac:dyDescent="0.3">
      <c r="A74" s="15" t="s">
        <v>116</v>
      </c>
      <c r="B74" s="15" t="s">
        <v>116</v>
      </c>
      <c r="C74" s="8">
        <v>73.600000000000009</v>
      </c>
      <c r="D74" s="1" t="s">
        <v>2</v>
      </c>
      <c r="E74" s="37">
        <f t="shared" si="2"/>
        <v>153.33333333333334</v>
      </c>
      <c r="F74" s="37">
        <f t="shared" si="3"/>
        <v>49.06666666666667</v>
      </c>
    </row>
    <row r="75" spans="1:6" ht="86.4" customHeight="1" x14ac:dyDescent="0.3">
      <c r="A75" s="16" t="s">
        <v>117</v>
      </c>
      <c r="B75" s="16" t="s">
        <v>117</v>
      </c>
      <c r="C75" s="6">
        <v>61.2</v>
      </c>
      <c r="D75" s="1" t="s">
        <v>2</v>
      </c>
      <c r="E75" s="37">
        <f t="shared" si="2"/>
        <v>127.50000000000001</v>
      </c>
      <c r="F75" s="37">
        <f t="shared" si="3"/>
        <v>40.800000000000004</v>
      </c>
    </row>
    <row r="76" spans="1:6" ht="57.6" customHeight="1" x14ac:dyDescent="0.3">
      <c r="A76" s="16" t="s">
        <v>118</v>
      </c>
      <c r="B76" s="16" t="s">
        <v>118</v>
      </c>
      <c r="C76" s="6">
        <v>61.2</v>
      </c>
      <c r="D76" s="1" t="s">
        <v>2</v>
      </c>
      <c r="E76" s="37">
        <f t="shared" si="2"/>
        <v>127.50000000000001</v>
      </c>
      <c r="F76" s="37">
        <f t="shared" si="3"/>
        <v>40.800000000000004</v>
      </c>
    </row>
    <row r="77" spans="1:6" ht="57.6" customHeight="1" x14ac:dyDescent="0.3">
      <c r="A77" s="17" t="s">
        <v>119</v>
      </c>
      <c r="B77" s="17" t="s">
        <v>119</v>
      </c>
      <c r="C77" s="6">
        <v>61.2</v>
      </c>
      <c r="D77" s="1" t="s">
        <v>2</v>
      </c>
      <c r="E77" s="37">
        <f t="shared" si="2"/>
        <v>127.50000000000001</v>
      </c>
      <c r="F77" s="37">
        <f t="shared" si="3"/>
        <v>40.800000000000004</v>
      </c>
    </row>
    <row r="78" spans="1:6" ht="86.4" customHeight="1" x14ac:dyDescent="0.3">
      <c r="A78" s="16" t="s">
        <v>120</v>
      </c>
      <c r="B78" s="16" t="s">
        <v>120</v>
      </c>
      <c r="C78" s="12">
        <v>17.28</v>
      </c>
      <c r="D78" s="1" t="s">
        <v>2</v>
      </c>
      <c r="E78" s="37">
        <f t="shared" si="2"/>
        <v>36.000000000000007</v>
      </c>
      <c r="F78" s="37">
        <f t="shared" si="3"/>
        <v>11.520000000000001</v>
      </c>
    </row>
    <row r="79" spans="1:6" ht="100.8" customHeight="1" x14ac:dyDescent="0.3">
      <c r="A79" s="16" t="s">
        <v>121</v>
      </c>
      <c r="B79" s="16" t="s">
        <v>121</v>
      </c>
      <c r="C79" s="12">
        <v>17.28</v>
      </c>
      <c r="D79" s="1" t="s">
        <v>2</v>
      </c>
      <c r="E79" s="37">
        <f t="shared" si="2"/>
        <v>36.000000000000007</v>
      </c>
      <c r="F79" s="37">
        <f t="shared" si="3"/>
        <v>11.520000000000001</v>
      </c>
    </row>
    <row r="80" spans="1:6" ht="57.6" customHeight="1" x14ac:dyDescent="0.3">
      <c r="A80" s="18" t="s">
        <v>122</v>
      </c>
      <c r="B80" s="18" t="s">
        <v>122</v>
      </c>
      <c r="C80" s="8">
        <v>56.08</v>
      </c>
      <c r="D80" s="1" t="s">
        <v>2</v>
      </c>
      <c r="E80" s="37">
        <f t="shared" si="2"/>
        <v>116.83333333333333</v>
      </c>
      <c r="F80" s="37">
        <f t="shared" si="3"/>
        <v>37.386666666666663</v>
      </c>
    </row>
    <row r="81" spans="1:6" ht="43.2" customHeight="1" x14ac:dyDescent="0.3">
      <c r="A81" s="19" t="s">
        <v>123</v>
      </c>
      <c r="B81" s="19" t="s">
        <v>123</v>
      </c>
      <c r="C81" s="8">
        <v>67.328000000000003</v>
      </c>
      <c r="D81" s="1" t="s">
        <v>2</v>
      </c>
      <c r="E81" s="37">
        <f t="shared" si="2"/>
        <v>140.26666666666668</v>
      </c>
      <c r="F81" s="37">
        <f t="shared" si="3"/>
        <v>44.885333333333335</v>
      </c>
    </row>
    <row r="82" spans="1:6" ht="72" x14ac:dyDescent="0.3">
      <c r="A82" s="20" t="s">
        <v>124</v>
      </c>
      <c r="B82" s="20" t="s">
        <v>124</v>
      </c>
      <c r="C82" s="8">
        <v>33.6</v>
      </c>
      <c r="D82" s="1" t="s">
        <v>2</v>
      </c>
      <c r="E82" s="37">
        <f t="shared" si="2"/>
        <v>70</v>
      </c>
      <c r="F82" s="37">
        <f t="shared" si="3"/>
        <v>22.400000000000002</v>
      </c>
    </row>
    <row r="83" spans="1:6" ht="72" x14ac:dyDescent="0.3">
      <c r="A83" s="20" t="s">
        <v>125</v>
      </c>
      <c r="B83" s="20" t="s">
        <v>125</v>
      </c>
      <c r="C83" s="8">
        <v>41.6</v>
      </c>
      <c r="D83" s="1" t="s">
        <v>2</v>
      </c>
      <c r="E83" s="37">
        <f t="shared" si="2"/>
        <v>86.666666666666671</v>
      </c>
      <c r="F83" s="37">
        <f t="shared" si="3"/>
        <v>27.733333333333334</v>
      </c>
    </row>
    <row r="84" spans="1:6" ht="100.8" customHeight="1" x14ac:dyDescent="0.3">
      <c r="A84" s="7" t="s">
        <v>126</v>
      </c>
      <c r="B84" s="7" t="s">
        <v>126</v>
      </c>
      <c r="C84" s="8">
        <v>16.303999999999998</v>
      </c>
      <c r="D84" s="1" t="s">
        <v>2</v>
      </c>
      <c r="E84" s="37">
        <f t="shared" si="2"/>
        <v>33.966666666666661</v>
      </c>
      <c r="F84" s="37">
        <f t="shared" si="3"/>
        <v>10.869333333333332</v>
      </c>
    </row>
    <row r="85" spans="1:6" ht="86.4" customHeight="1" x14ac:dyDescent="0.3">
      <c r="A85" s="7" t="s">
        <v>127</v>
      </c>
      <c r="B85" s="7" t="s">
        <v>127</v>
      </c>
      <c r="C85" s="8">
        <v>8.2720000000000002</v>
      </c>
      <c r="D85" s="1" t="s">
        <v>2</v>
      </c>
      <c r="E85" s="37">
        <f t="shared" si="2"/>
        <v>17.233333333333334</v>
      </c>
      <c r="F85" s="37">
        <f t="shared" si="3"/>
        <v>5.5146666666666668</v>
      </c>
    </row>
    <row r="86" spans="1:6" ht="57.6" x14ac:dyDescent="0.3">
      <c r="A86" s="5" t="s">
        <v>128</v>
      </c>
      <c r="B86" s="5" t="s">
        <v>128</v>
      </c>
      <c r="C86" s="21">
        <v>15.984000000000002</v>
      </c>
      <c r="D86" s="1" t="s">
        <v>2</v>
      </c>
      <c r="E86" s="37">
        <f t="shared" si="2"/>
        <v>33.300000000000004</v>
      </c>
      <c r="F86" s="37">
        <f t="shared" si="3"/>
        <v>10.656000000000001</v>
      </c>
    </row>
    <row r="87" spans="1:6" ht="115.2" customHeight="1" x14ac:dyDescent="0.3">
      <c r="A87" s="22" t="s">
        <v>129</v>
      </c>
      <c r="B87" s="22" t="s">
        <v>129</v>
      </c>
      <c r="C87" s="21">
        <v>13.92</v>
      </c>
      <c r="D87" s="1" t="s">
        <v>2</v>
      </c>
      <c r="E87" s="37">
        <f t="shared" si="2"/>
        <v>28.999999999999996</v>
      </c>
      <c r="F87" s="37">
        <f t="shared" si="3"/>
        <v>9.2799999999999994</v>
      </c>
    </row>
    <row r="88" spans="1:6" x14ac:dyDescent="0.3">
      <c r="A88" s="23" t="s">
        <v>130</v>
      </c>
      <c r="B88" s="23" t="s">
        <v>130</v>
      </c>
      <c r="C88" s="24">
        <v>104</v>
      </c>
      <c r="D88" s="1" t="s">
        <v>2</v>
      </c>
      <c r="E88" s="37">
        <f t="shared" si="2"/>
        <v>216.66666666666666</v>
      </c>
      <c r="F88" s="37">
        <f t="shared" si="3"/>
        <v>69.333333333333329</v>
      </c>
    </row>
    <row r="89" spans="1:6" x14ac:dyDescent="0.3">
      <c r="A89" s="23" t="s">
        <v>131</v>
      </c>
      <c r="B89" s="23" t="s">
        <v>131</v>
      </c>
      <c r="C89" s="24">
        <v>104</v>
      </c>
      <c r="D89" s="1" t="s">
        <v>2</v>
      </c>
      <c r="E89" s="37">
        <f t="shared" si="2"/>
        <v>216.66666666666666</v>
      </c>
      <c r="F89" s="37">
        <f t="shared" si="3"/>
        <v>69.333333333333329</v>
      </c>
    </row>
    <row r="90" spans="1:6" ht="86.4" customHeight="1" x14ac:dyDescent="0.3">
      <c r="A90" s="25" t="s">
        <v>132</v>
      </c>
      <c r="B90" s="25" t="s">
        <v>132</v>
      </c>
      <c r="C90" s="26">
        <v>27.712000000000003</v>
      </c>
      <c r="D90" s="1" t="s">
        <v>2</v>
      </c>
      <c r="E90" s="37">
        <f t="shared" si="2"/>
        <v>57.733333333333334</v>
      </c>
      <c r="F90" s="37">
        <f t="shared" si="3"/>
        <v>18.474666666666668</v>
      </c>
    </row>
    <row r="91" spans="1:6" ht="110.4" customHeight="1" x14ac:dyDescent="0.3">
      <c r="A91" s="25" t="s">
        <v>133</v>
      </c>
      <c r="B91" s="25" t="s">
        <v>133</v>
      </c>
      <c r="C91" s="26">
        <v>33.04</v>
      </c>
      <c r="D91" s="1" t="s">
        <v>2</v>
      </c>
      <c r="E91" s="37">
        <f t="shared" si="2"/>
        <v>68.833333333333329</v>
      </c>
      <c r="F91" s="37">
        <f t="shared" si="3"/>
        <v>22.026666666666667</v>
      </c>
    </row>
    <row r="92" spans="1:6" ht="86.4" customHeight="1" x14ac:dyDescent="0.3">
      <c r="A92" s="25" t="s">
        <v>134</v>
      </c>
      <c r="B92" s="25" t="s">
        <v>134</v>
      </c>
      <c r="C92" s="26">
        <v>36.384</v>
      </c>
      <c r="D92" s="1" t="s">
        <v>2</v>
      </c>
      <c r="E92" s="37">
        <f t="shared" si="2"/>
        <v>75.8</v>
      </c>
      <c r="F92" s="37">
        <f t="shared" si="3"/>
        <v>24.256</v>
      </c>
    </row>
    <row r="93" spans="1:6" ht="86.4" customHeight="1" x14ac:dyDescent="0.3">
      <c r="A93" s="20" t="s">
        <v>135</v>
      </c>
      <c r="B93" s="20" t="s">
        <v>135</v>
      </c>
      <c r="C93" s="27">
        <v>25.92</v>
      </c>
      <c r="D93" s="1" t="s">
        <v>2</v>
      </c>
      <c r="E93" s="37">
        <f t="shared" si="2"/>
        <v>54</v>
      </c>
      <c r="F93" s="37">
        <f t="shared" si="3"/>
        <v>17.28</v>
      </c>
    </row>
    <row r="94" spans="1:6" ht="86.4" customHeight="1" x14ac:dyDescent="0.3">
      <c r="A94" s="20" t="s">
        <v>136</v>
      </c>
      <c r="B94" s="20" t="s">
        <v>136</v>
      </c>
      <c r="C94" s="27">
        <v>25.344000000000001</v>
      </c>
      <c r="D94" s="1" t="s">
        <v>2</v>
      </c>
      <c r="E94" s="37">
        <f t="shared" si="2"/>
        <v>52.800000000000004</v>
      </c>
      <c r="F94" s="37">
        <f t="shared" si="3"/>
        <v>16.896000000000001</v>
      </c>
    </row>
    <row r="95" spans="1:6" ht="86.4" customHeight="1" x14ac:dyDescent="0.3">
      <c r="A95" s="20" t="s">
        <v>134</v>
      </c>
      <c r="B95" s="20" t="s">
        <v>134</v>
      </c>
      <c r="C95" s="27">
        <v>30.864000000000001</v>
      </c>
      <c r="D95" s="1" t="s">
        <v>2</v>
      </c>
      <c r="E95" s="37">
        <f t="shared" si="2"/>
        <v>64.3</v>
      </c>
      <c r="F95" s="37">
        <f t="shared" si="3"/>
        <v>20.576000000000001</v>
      </c>
    </row>
    <row r="96" spans="1:6" ht="57.6" customHeight="1" x14ac:dyDescent="0.3">
      <c r="A96" s="20" t="s">
        <v>137</v>
      </c>
      <c r="B96" s="20" t="s">
        <v>137</v>
      </c>
      <c r="C96" s="27">
        <v>18.576000000000001</v>
      </c>
      <c r="D96" s="1" t="s">
        <v>2</v>
      </c>
      <c r="E96" s="37">
        <f t="shared" si="2"/>
        <v>38.700000000000003</v>
      </c>
      <c r="F96" s="37">
        <f t="shared" si="3"/>
        <v>12.384</v>
      </c>
    </row>
    <row r="97" spans="1:6" ht="57.6" customHeight="1" x14ac:dyDescent="0.3">
      <c r="A97" s="20" t="s">
        <v>138</v>
      </c>
      <c r="B97" s="20" t="s">
        <v>138</v>
      </c>
      <c r="C97" s="27">
        <v>21.856000000000002</v>
      </c>
      <c r="D97" s="1" t="s">
        <v>2</v>
      </c>
      <c r="E97" s="37">
        <f t="shared" si="2"/>
        <v>45.533333333333339</v>
      </c>
      <c r="F97" s="37">
        <f t="shared" si="3"/>
        <v>14.570666666666668</v>
      </c>
    </row>
    <row r="98" spans="1:6" ht="57.6" customHeight="1" x14ac:dyDescent="0.3">
      <c r="A98" s="20" t="s">
        <v>139</v>
      </c>
      <c r="B98" s="20" t="s">
        <v>139</v>
      </c>
      <c r="C98" s="27">
        <v>14.144</v>
      </c>
      <c r="D98" s="1" t="s">
        <v>2</v>
      </c>
      <c r="E98" s="37">
        <f t="shared" si="2"/>
        <v>29.466666666666669</v>
      </c>
      <c r="F98" s="37">
        <f t="shared" si="3"/>
        <v>9.429333333333334</v>
      </c>
    </row>
    <row r="99" spans="1:6" ht="57.6" customHeight="1" x14ac:dyDescent="0.3">
      <c r="A99" s="20" t="s">
        <v>140</v>
      </c>
      <c r="B99" s="20" t="s">
        <v>140</v>
      </c>
      <c r="C99" s="27">
        <v>20.432000000000002</v>
      </c>
      <c r="D99" s="1" t="s">
        <v>2</v>
      </c>
      <c r="E99" s="37">
        <f t="shared" si="2"/>
        <v>42.56666666666667</v>
      </c>
      <c r="F99" s="37">
        <f t="shared" si="3"/>
        <v>13.621333333333334</v>
      </c>
    </row>
    <row r="100" spans="1:6" ht="86.4" customHeight="1" x14ac:dyDescent="0.3">
      <c r="A100" s="20" t="s">
        <v>141</v>
      </c>
      <c r="B100" s="20" t="s">
        <v>141</v>
      </c>
      <c r="C100" s="27">
        <v>25.488</v>
      </c>
      <c r="D100" s="1" t="s">
        <v>2</v>
      </c>
      <c r="E100" s="37">
        <f t="shared" si="2"/>
        <v>53.1</v>
      </c>
      <c r="F100" s="37">
        <f t="shared" si="3"/>
        <v>16.992000000000001</v>
      </c>
    </row>
    <row r="101" spans="1:6" ht="86.4" customHeight="1" x14ac:dyDescent="0.3">
      <c r="A101" s="20" t="s">
        <v>142</v>
      </c>
      <c r="B101" s="20" t="s">
        <v>142</v>
      </c>
      <c r="C101" s="27">
        <v>6.8000000000000007</v>
      </c>
      <c r="D101" s="1" t="s">
        <v>2</v>
      </c>
      <c r="E101" s="37">
        <f t="shared" si="2"/>
        <v>14.16666666666667</v>
      </c>
      <c r="F101" s="37">
        <f t="shared" si="3"/>
        <v>4.5333333333333341</v>
      </c>
    </row>
    <row r="102" spans="1:6" ht="43.2" customHeight="1" x14ac:dyDescent="0.3">
      <c r="A102" s="20" t="s">
        <v>143</v>
      </c>
      <c r="B102" s="20" t="s">
        <v>143</v>
      </c>
      <c r="C102" s="27">
        <v>296</v>
      </c>
      <c r="D102" s="1" t="s">
        <v>2</v>
      </c>
      <c r="E102" s="37">
        <f t="shared" si="2"/>
        <v>616.66666666666674</v>
      </c>
      <c r="F102" s="37">
        <f t="shared" si="3"/>
        <v>197.33333333333334</v>
      </c>
    </row>
    <row r="103" spans="1:6" ht="57.6" x14ac:dyDescent="0.3">
      <c r="A103" s="28" t="s">
        <v>144</v>
      </c>
      <c r="B103" s="28" t="s">
        <v>144</v>
      </c>
      <c r="C103" s="29">
        <v>376</v>
      </c>
      <c r="D103" s="1" t="s">
        <v>2</v>
      </c>
      <c r="E103" s="37">
        <f t="shared" si="2"/>
        <v>783.33333333333326</v>
      </c>
      <c r="F103" s="37">
        <f t="shared" si="3"/>
        <v>250.66666666666666</v>
      </c>
    </row>
    <row r="104" spans="1:6" ht="72" customHeight="1" x14ac:dyDescent="0.3">
      <c r="A104" s="30" t="s">
        <v>145</v>
      </c>
      <c r="B104" s="30" t="s">
        <v>145</v>
      </c>
      <c r="C104" s="31">
        <v>3256</v>
      </c>
      <c r="D104" s="1" t="s">
        <v>2</v>
      </c>
      <c r="E104" s="37">
        <f t="shared" si="2"/>
        <v>6783.333333333333</v>
      </c>
      <c r="F104" s="37">
        <f t="shared" si="3"/>
        <v>2170.6666666666665</v>
      </c>
    </row>
    <row r="105" spans="1:6" ht="57.6" x14ac:dyDescent="0.3">
      <c r="A105" s="32" t="s">
        <v>144</v>
      </c>
      <c r="B105" s="32" t="s">
        <v>144</v>
      </c>
      <c r="C105" s="33">
        <v>144</v>
      </c>
      <c r="D105" s="1" t="s">
        <v>2</v>
      </c>
      <c r="E105" s="37">
        <f t="shared" si="2"/>
        <v>300</v>
      </c>
      <c r="F105" s="37">
        <f t="shared" si="3"/>
        <v>96</v>
      </c>
    </row>
    <row r="106" spans="1:6" ht="43.2" customHeight="1" x14ac:dyDescent="0.3">
      <c r="A106" s="20" t="s">
        <v>146</v>
      </c>
      <c r="B106" s="20" t="s">
        <v>146</v>
      </c>
      <c r="C106" s="33">
        <v>56</v>
      </c>
      <c r="D106" s="1" t="s">
        <v>2</v>
      </c>
      <c r="E106" s="37">
        <f t="shared" si="2"/>
        <v>116.66666666666667</v>
      </c>
      <c r="F106" s="37">
        <f t="shared" si="3"/>
        <v>37.333333333333336</v>
      </c>
    </row>
    <row r="107" spans="1:6" ht="57.6" customHeight="1" x14ac:dyDescent="0.3">
      <c r="A107" s="20" t="s">
        <v>147</v>
      </c>
      <c r="B107" s="20" t="s">
        <v>147</v>
      </c>
      <c r="C107" s="33">
        <v>78.400000000000006</v>
      </c>
      <c r="D107" s="1" t="s">
        <v>2</v>
      </c>
      <c r="E107" s="37">
        <f t="shared" si="2"/>
        <v>163.33333333333334</v>
      </c>
      <c r="F107" s="37">
        <f t="shared" si="3"/>
        <v>52.266666666666673</v>
      </c>
    </row>
    <row r="108" spans="1:6" ht="72" customHeight="1" x14ac:dyDescent="0.3">
      <c r="A108" s="34" t="s">
        <v>148</v>
      </c>
      <c r="B108" s="34" t="s">
        <v>148</v>
      </c>
      <c r="C108" s="29">
        <v>137.6</v>
      </c>
      <c r="D108" s="1" t="s">
        <v>2</v>
      </c>
      <c r="E108" s="37">
        <f t="shared" si="2"/>
        <v>286.66666666666669</v>
      </c>
      <c r="F108" s="37">
        <f t="shared" si="3"/>
        <v>91.733333333333334</v>
      </c>
    </row>
    <row r="109" spans="1:6" x14ac:dyDescent="0.3">
      <c r="A109" s="14" t="s">
        <v>149</v>
      </c>
      <c r="B109" s="10"/>
      <c r="C109" s="14">
        <v>9.6319999999999997</v>
      </c>
      <c r="D109" s="1" t="s">
        <v>2</v>
      </c>
      <c r="E109" s="37">
        <f t="shared" si="2"/>
        <v>20.066666666666666</v>
      </c>
      <c r="F109" s="37">
        <f t="shared" si="3"/>
        <v>6.4213333333333331</v>
      </c>
    </row>
    <row r="110" spans="1:6" x14ac:dyDescent="0.3">
      <c r="A110" s="14" t="s">
        <v>150</v>
      </c>
      <c r="B110" s="10"/>
      <c r="C110" s="14">
        <v>8.4160000000000004</v>
      </c>
      <c r="D110" s="1" t="s">
        <v>2</v>
      </c>
      <c r="E110" s="37">
        <f t="shared" si="2"/>
        <v>17.533333333333335</v>
      </c>
      <c r="F110" s="37">
        <f t="shared" si="3"/>
        <v>5.6106666666666669</v>
      </c>
    </row>
    <row r="111" spans="1:6" x14ac:dyDescent="0.3">
      <c r="A111" s="14" t="s">
        <v>151</v>
      </c>
      <c r="B111" s="10"/>
      <c r="C111" s="14">
        <v>5.36</v>
      </c>
      <c r="D111" s="1" t="s">
        <v>2</v>
      </c>
      <c r="E111" s="37">
        <f t="shared" si="2"/>
        <v>11.166666666666668</v>
      </c>
      <c r="F111" s="37">
        <f t="shared" si="3"/>
        <v>3.5733333333333337</v>
      </c>
    </row>
    <row r="112" spans="1:6" x14ac:dyDescent="0.3">
      <c r="A112" s="14" t="s">
        <v>152</v>
      </c>
      <c r="B112" s="10"/>
      <c r="C112" s="14">
        <v>0.64000000000000012</v>
      </c>
      <c r="D112" s="1" t="s">
        <v>2</v>
      </c>
      <c r="E112" s="37">
        <f t="shared" si="2"/>
        <v>1.3333333333333335</v>
      </c>
      <c r="F112" s="37">
        <f t="shared" si="3"/>
        <v>0.42666666666666675</v>
      </c>
    </row>
    <row r="113" spans="1:6" x14ac:dyDescent="0.3">
      <c r="A113" s="14" t="s">
        <v>153</v>
      </c>
      <c r="B113" s="10"/>
      <c r="C113" s="14">
        <v>4.976</v>
      </c>
      <c r="D113" s="1" t="s">
        <v>2</v>
      </c>
      <c r="E113" s="37">
        <f t="shared" si="2"/>
        <v>10.366666666666667</v>
      </c>
      <c r="F113" s="37">
        <f t="shared" si="3"/>
        <v>3.3173333333333335</v>
      </c>
    </row>
    <row r="114" spans="1:6" x14ac:dyDescent="0.3">
      <c r="A114" s="14" t="s">
        <v>154</v>
      </c>
      <c r="B114" s="10"/>
      <c r="C114" s="14">
        <v>0.44800000000000006</v>
      </c>
      <c r="D114" s="1" t="s">
        <v>2</v>
      </c>
      <c r="E114" s="37">
        <f t="shared" si="2"/>
        <v>0.93333333333333346</v>
      </c>
      <c r="F114" s="37">
        <f t="shared" si="3"/>
        <v>0.29866666666666669</v>
      </c>
    </row>
    <row r="115" spans="1:6" x14ac:dyDescent="0.3">
      <c r="A115" s="14" t="s">
        <v>155</v>
      </c>
      <c r="B115" s="10"/>
      <c r="C115" s="14">
        <v>5.9039999999999999</v>
      </c>
      <c r="D115" s="1" t="s">
        <v>2</v>
      </c>
      <c r="E115" s="37">
        <f t="shared" si="2"/>
        <v>12.3</v>
      </c>
      <c r="F115" s="37">
        <f t="shared" si="3"/>
        <v>3.9359999999999999</v>
      </c>
    </row>
    <row r="116" spans="1:6" x14ac:dyDescent="0.3">
      <c r="A116" s="14" t="s">
        <v>156</v>
      </c>
      <c r="B116" s="10"/>
      <c r="C116" s="14">
        <v>0.41600000000000004</v>
      </c>
      <c r="D116" s="1" t="s">
        <v>2</v>
      </c>
      <c r="E116" s="37">
        <f t="shared" si="2"/>
        <v>0.86666666666666681</v>
      </c>
      <c r="F116" s="37">
        <f t="shared" si="3"/>
        <v>0.27733333333333338</v>
      </c>
    </row>
    <row r="117" spans="1:6" ht="86.4" x14ac:dyDescent="0.3">
      <c r="A117" s="11" t="s">
        <v>157</v>
      </c>
      <c r="B117" s="35"/>
      <c r="C117" s="14">
        <v>26.160000000000004</v>
      </c>
      <c r="D117" s="1" t="s">
        <v>2</v>
      </c>
      <c r="E117" s="37">
        <f t="shared" si="2"/>
        <v>54.500000000000007</v>
      </c>
      <c r="F117" s="37">
        <f t="shared" si="3"/>
        <v>17.440000000000001</v>
      </c>
    </row>
    <row r="118" spans="1:6" ht="86.4" x14ac:dyDescent="0.3">
      <c r="A118" s="11" t="s">
        <v>158</v>
      </c>
      <c r="B118" s="10"/>
      <c r="C118" s="14">
        <v>15.840000000000002</v>
      </c>
      <c r="D118" s="1" t="s">
        <v>2</v>
      </c>
      <c r="E118" s="37">
        <f t="shared" si="2"/>
        <v>33</v>
      </c>
      <c r="F118" s="37">
        <f t="shared" si="3"/>
        <v>10.56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Schäpers</dc:creator>
  <cp:lastModifiedBy>Michael Schäpers</cp:lastModifiedBy>
  <dcterms:created xsi:type="dcterms:W3CDTF">2026-02-08T09:20:58Z</dcterms:created>
  <dcterms:modified xsi:type="dcterms:W3CDTF">2026-02-15T12:41:07Z</dcterms:modified>
</cp:coreProperties>
</file>