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Z:\Coolsulting_Tool\"/>
    </mc:Choice>
  </mc:AlternateContent>
  <xr:revisionPtr revIDLastSave="0" documentId="14_{F8DE46B7-CC08-4971-B260-5E34518D9099}" xr6:coauthVersionLast="47" xr6:coauthVersionMax="47" xr10:uidLastSave="{00000000-0000-0000-0000-000000000000}"/>
  <bookViews>
    <workbookView xWindow="-108" yWindow="-108" windowWidth="23256" windowHeight="13896" xr2:uid="{4F1FE85F-A56D-4D4E-B7CB-91853AFA3299}"/>
  </bookViews>
  <sheets>
    <sheet name="Tabelle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" i="1" l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E58" i="1"/>
  <c r="E59" i="1"/>
  <c r="E60" i="1"/>
  <c r="E61" i="1"/>
  <c r="E62" i="1"/>
  <c r="E63" i="1"/>
  <c r="E64" i="1"/>
  <c r="E65" i="1"/>
  <c r="E66" i="1"/>
  <c r="E67" i="1"/>
  <c r="E68" i="1"/>
  <c r="E69" i="1"/>
  <c r="E70" i="1"/>
  <c r="E71" i="1"/>
  <c r="E72" i="1"/>
  <c r="E73" i="1"/>
  <c r="E74" i="1"/>
  <c r="E75" i="1"/>
  <c r="E76" i="1"/>
  <c r="E77" i="1"/>
  <c r="E78" i="1"/>
  <c r="E79" i="1"/>
  <c r="E80" i="1"/>
  <c r="E81" i="1"/>
  <c r="E82" i="1"/>
  <c r="E83" i="1"/>
  <c r="E84" i="1"/>
  <c r="E85" i="1"/>
  <c r="E86" i="1"/>
  <c r="E87" i="1"/>
  <c r="E88" i="1"/>
  <c r="E89" i="1"/>
  <c r="E90" i="1"/>
  <c r="E91" i="1"/>
  <c r="E92" i="1"/>
  <c r="E93" i="1"/>
  <c r="E94" i="1"/>
  <c r="E95" i="1"/>
  <c r="E96" i="1"/>
  <c r="E97" i="1"/>
  <c r="E98" i="1"/>
  <c r="E99" i="1"/>
  <c r="E2" i="1"/>
  <c r="F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98" i="1"/>
  <c r="F2" i="1"/>
  <c r="F99" i="1"/>
</calcChain>
</file>

<file path=xl/sharedStrings.xml><?xml version="1.0" encoding="utf-8"?>
<sst xmlns="http://schemas.openxmlformats.org/spreadsheetml/2006/main" count="263" uniqueCount="150">
  <si>
    <t>Artikelnumer</t>
  </si>
  <si>
    <t>Kategorie</t>
  </si>
  <si>
    <t>Dienstleistung</t>
  </si>
  <si>
    <t>TCK</t>
  </si>
  <si>
    <t>TCK-Technikerstunde</t>
  </si>
  <si>
    <t>R_INST25</t>
  </si>
  <si>
    <t xml:space="preserve">Montage- Kältemittelleitung 1/4"/3/8" </t>
  </si>
  <si>
    <t>R_INST23</t>
  </si>
  <si>
    <t>Inbetriebnahmepauschale  für obengenanntes Quattro-Multi-Split-Klimasystem</t>
  </si>
  <si>
    <t>R_INST24</t>
  </si>
  <si>
    <t>Inbetriebnahmepauschale  für obengenanntes 5er-Multi-Split-Klimasystem</t>
  </si>
  <si>
    <t>R_INST26</t>
  </si>
  <si>
    <t xml:space="preserve">Montage- Kältemittelleitung 1/4"/1/2" </t>
  </si>
  <si>
    <t>R_INST27</t>
  </si>
  <si>
    <t>Montage- Kältemittelleitung 1/4"/5/8"</t>
  </si>
  <si>
    <t>R_INST29</t>
  </si>
  <si>
    <t xml:space="preserve">An/- Anfahrtspauschale Ortsgebiet Linz </t>
  </si>
  <si>
    <t>R_INST16</t>
  </si>
  <si>
    <t>Montagepauschale für obengenannte Duo- Außen-Eineheit/en inkl. Dämpfungssockel</t>
  </si>
  <si>
    <t>R_INST22</t>
  </si>
  <si>
    <t>Inbetriebnahmepauschale  für obengenanntes Trio-Multi-Split-Klimasystem</t>
  </si>
  <si>
    <t>R_INST21</t>
  </si>
  <si>
    <t>Inbetriebnahmepauschale  für obengenanntes Duo- Multi-Split-Klimasystem</t>
  </si>
  <si>
    <t>R_INST20</t>
  </si>
  <si>
    <t>Inbetriebnahmepauschale  für obengenanntes Mono-Split-Klimasystem</t>
  </si>
  <si>
    <t>R_INST19</t>
  </si>
  <si>
    <t>Montagepauschale für obengenannte 5er-Außen-Eineheit/en inkl. Dämpfungssockel</t>
  </si>
  <si>
    <t>R_INST18</t>
  </si>
  <si>
    <t>Montagepauschale für obengenannte Quattro-Außen-Eineheit/en inkl. Dämpfungssockel</t>
  </si>
  <si>
    <t>R_INST17</t>
  </si>
  <si>
    <t>Montagepauschale für obengenannte Trio-Außen-Eineheit/en inkl. Dämpfungssockel</t>
  </si>
  <si>
    <t>R_INST15</t>
  </si>
  <si>
    <t>Montagepauschale für obengenannte Außen-Eineheit inkl. Dämpfungssockel</t>
  </si>
  <si>
    <t>R_INST05</t>
  </si>
  <si>
    <t>Helfer bzw. Lehrling</t>
  </si>
  <si>
    <t>R_INST06</t>
  </si>
  <si>
    <t>Übernachtungspauschale</t>
  </si>
  <si>
    <t>R_INST07</t>
  </si>
  <si>
    <t xml:space="preserve">Montagepauschale für obengenannte Multi/Mono Split-Anlage </t>
  </si>
  <si>
    <t>R_INST09</t>
  </si>
  <si>
    <t>Einbaupauschale einer Kondesatwasserpumpe für obengenannte Inneneinheit/en</t>
  </si>
  <si>
    <t>R_INST10</t>
  </si>
  <si>
    <t xml:space="preserve">Montagepauschale für obengenannte Außen-Eineheit inkl. Wandkonsole  </t>
  </si>
  <si>
    <t>R_INST11</t>
  </si>
  <si>
    <t xml:space="preserve">Montagepauschale für obengenannte Außen-Eineheit/en inkl. Wandkonsole  </t>
  </si>
  <si>
    <t>R_INST12</t>
  </si>
  <si>
    <t>R_INST13</t>
  </si>
  <si>
    <t>R_INST14</t>
  </si>
  <si>
    <t>R_INST08</t>
  </si>
  <si>
    <t>Montagepauschale für obengenannte Inneneinheit/en</t>
  </si>
  <si>
    <t>KERNZ</t>
  </si>
  <si>
    <t>Kernbohrung 50-65 mm durch eine  Ziegel-, Holz- oder Trockenbauwand</t>
  </si>
  <si>
    <t>MPS2025</t>
  </si>
  <si>
    <t>Monteur-Partie-Stunde</t>
  </si>
  <si>
    <t>KERNB</t>
  </si>
  <si>
    <t>Kernbohrung 50-65 mm durch eine Stahlbetonwand (max.200 mm)</t>
  </si>
  <si>
    <t>KERNSB</t>
  </si>
  <si>
    <t>Kernbohrung 50-65 mm durch eine Betonwand</t>
  </si>
  <si>
    <t>KERN-65-BW</t>
  </si>
  <si>
    <t>AS01261</t>
  </si>
  <si>
    <t>BODENKONSOLEN (Gummi Dämpfungssockel)
FÜR AUẞENEINHEITEN
Schwingungsdämpfende Bodenplatte
SETMIT 2 "ECOSOPORT"-SOCKELN
Einschließlich Befestigungsschrauben Sockel 130 mm
Höhe 95 mm   
Länge 400 mm. Max. Gerätegewicht 215 kg 
Mindesabnahmemenge: Pack your Palett Aktion
Mehr Informationen-siehe technisches Datenblatt</t>
  </si>
  <si>
    <t>AS01262</t>
  </si>
  <si>
    <t>BODENKONSOLEN (Gummi Dämpfungssockel)
FÜR AUẞENEINHEITEN
Schwingungsdämpfende Bodenplatte
SETMIT 2 "ECOSOPORT"-SOCKELN
Einschließlich Befestigungsschrauben Sockel 130 mm
Höhe 95 mm   
Länge 400 mm. Max. Gerätegewicht 215 kg  € 16,--/Set
Länge 600 mm. Max. Gerätegewicht 350 kg 
Mindesabnahmemenge: Pack your Palett Aktion
Mehr Informationen-siehe technisches Datenblatt</t>
  </si>
  <si>
    <t>AS01031</t>
  </si>
  <si>
    <t>EIGENSCHAFTEN:
• Cremefarben mit Epoxyd-Polyester
beschichtet.
• Blechstärke 2 mm.
• 3 Bohrungen Ø12 Wandbefestigung:
880/550
GESTELL FÜR DIE AUßENEINHEIT
Modell WANDDECKE 880 mm
Mindesabnahmemenge: Pack your Palett Aktion
Mehr Informationen-siehe technisches Datenblatt</t>
  </si>
  <si>
    <t>AS01025</t>
  </si>
  <si>
    <t>Modell
A (regulierbar)
mm
B (verstellbar)
mm
C
mm
D
mm
TRM 500 a 800 150 a 350 625 450
Modell
A (regulierbar)
mm
B (verstellbar)
mm
C
mm
D
mm
TRG 600 a 1000 200 a 400 725 500
Bestellnr. Modell Gewicht
(kg)
AS 01 025
Mittlere TRM-
Unterstützung
6kg
Materialien
- Verzinktes Stahlblech
- Dicke: 2 mm
- Cremefarben mit Epoxid-Polyester beschichte
Mindesabnahmemenge: Pack your Palett Aktion
Mehr Informationen-siehe technisches Datenblatt</t>
  </si>
  <si>
    <t>AS01026</t>
  </si>
  <si>
    <t>Bestellnr. Modell Gewicht
(kg)
AS 01 026
Große TRG-
Unterstützung
7kg
Materialien
- Verzinktes Stahlblech
- Dicke: 2 mm
- Cremefarben mit Epoxid-Polyester beschichte
Mindesabnahmemenge: Pack your Palett Aktion
Mehr Informationen-siehe technisches Datenblatt</t>
  </si>
  <si>
    <r>
      <t xml:space="preserve">SATZ MIT 2 "ECOSOPORT"-SOCKELN
Einschließlich Befestigungsschrauben
Sockel 130 mm
Höhe 95 mm
</t>
    </r>
    <r>
      <rPr>
        <b/>
        <sz val="11"/>
        <color theme="8" tint="0.39997558519241921"/>
        <rFont val="Aptos Narrow"/>
        <family val="2"/>
        <scheme val="minor"/>
      </rPr>
      <t xml:space="preserve">Länge 400 mm. </t>
    </r>
    <r>
      <rPr>
        <sz val="11"/>
        <color theme="8" tint="0.39997558519241921"/>
        <rFont val="Aptos Narrow"/>
        <family val="2"/>
        <scheme val="minor"/>
      </rPr>
      <t xml:space="preserve">
Max. Gerätegewicht 215 kg
AS01261 </t>
    </r>
  </si>
  <si>
    <r>
      <t xml:space="preserve">SATZ MIT 2 "ECOSOPORT"-SOCKELN
Einschließlich Befestigungsschrauben
Sockel 130 mm
Höhe 95 mm
</t>
    </r>
    <r>
      <rPr>
        <b/>
        <sz val="11"/>
        <color theme="8" tint="0.39997558519241921"/>
        <rFont val="Aptos Narrow"/>
        <family val="2"/>
        <scheme val="minor"/>
      </rPr>
      <t xml:space="preserve">Länge 600 mm. </t>
    </r>
    <r>
      <rPr>
        <sz val="11"/>
        <color theme="8" tint="0.39997558519241921"/>
        <rFont val="Aptos Narrow"/>
        <family val="2"/>
        <scheme val="minor"/>
      </rPr>
      <t xml:space="preserve">
Max. Gerätegewicht 350 kg
AS01262 </t>
    </r>
  </si>
  <si>
    <t xml:space="preserve">GUS GDS 600 Dämpfungssockel
600x190x95 mm / Alu-Profil 40 x 21 mm
Tragfähigkeit 450 kg
Code: 20282
9,95 pro stück </t>
  </si>
  <si>
    <t>GUS Schraubensatz für GDS
Dämpfungssockel
2 Stück Hammerkopfschraube (2-teilig)
Code: 20308
Nettogewicht : 0,500
1,5  € pro Sockel</t>
  </si>
  <si>
    <t>GUS CUW-3 Edelstahl Ölprotektor H x B x T: 35 x 1150 x 500 mm
Artikelnummer:  855985
Werksnummer: 20023</t>
  </si>
  <si>
    <t>GUS AUW-3 Aluminium Ölprotektor H x B x T: 35 x 1150 x 500 mm
Artikelnummer:  855998
Werksnummer: 20043</t>
  </si>
  <si>
    <t>WK -Konsole 700 mm verschweisst
Artikelnummer:  305003
Werksnummer: 0290011</t>
  </si>
  <si>
    <t>Teleskop-Wandkonsole MS 257
Code: MS257 105</t>
  </si>
  <si>
    <t>Schiebekonsole GIOTTO SG 120 EVO bis 120 kg Set
Artikelnummer: 
856001
Werksnummer:
111000801</t>
  </si>
  <si>
    <r>
      <t xml:space="preserve">Wandkonsole mit Schiene, 
MS257, 
Tiefe 550 mm, 
weiss, 140 kg
</t>
    </r>
    <r>
      <rPr>
        <sz val="11"/>
        <color rgb="FF777777"/>
        <rFont val="Arial"/>
        <family val="2"/>
      </rPr>
      <t>ArtNr.: 1050013</t>
    </r>
  </si>
  <si>
    <t>Gummischwingungsdämpfer - 
Set 4 Stk. 
SR-1-N-M8
ArtNr.: 1300230</t>
  </si>
  <si>
    <t xml:space="preserve">AUFHÄNGEBÜGEL FÜR DECKEN 500-800 mm
AS01025
</t>
  </si>
  <si>
    <t xml:space="preserve">AUFHÄNGEBÜGEL FÜR DECKEN 600-1000mm
AS01026
</t>
  </si>
  <si>
    <t>Diversitech
Diversitech Ultralite Pad 1200x600x75mm
ArtNr.: 1150600</t>
  </si>
  <si>
    <t>Dachkonsole 9°-45°,
 Tiefe 420 mm, 
70+70 kg
ArtNr.: 1100000</t>
  </si>
  <si>
    <t>Soleco CB1MNaZcM Schwingungsdämpfer Kit mit 4 Stück Stahlfederfüße 70-120 kg 
Artikelnummer: 
771162
Werksnummer:
CB1MNaZcM/00000</t>
  </si>
  <si>
    <t>Soleco CB1MNaZcG Schwingungsdämpfer Kit
 mit 4 Stück Stahlfederfüße 50-80 kg
(Je 2 Stück für ungleiche Gewichtsverteilung)
771161</t>
  </si>
  <si>
    <t>Soleco CB1MNaZcV Schwingungsdämpfer Kit 
mit 4 Stück Stahlfederfüße 30-55 kg 
(Je 2 Stück für ungleiche Gewichtsverteilung)
771160</t>
  </si>
  <si>
    <t xml:space="preserve">
Cellpack
DUCT SEAL Universal bis Dichtungskitt 0,454 Kg
Type:DUXSEAL 0,454 KG
SCHÄCKE Art.Nr.: 1676288
Hersteller-Art.Nr.240358</t>
  </si>
  <si>
    <t>Cellpack
DUCT SEAL Universal bis Dichtungskitt 2,5 Kg
SCHÄCKE Art.Nr.: 
1692399
Hersteller-Art.Nr.: 
240357
Type: DUXSEAL 2,5</t>
  </si>
  <si>
    <t>FlexyKit AD.FLEX.80, passend zu ADF8
bestehend aus 1x FlexSchlauch DM 60 Länge 1000,
2x FlexConnector, 1x FlexEnd und 1x Edelstahl-Klammer
Code : 0515.00114.072</t>
  </si>
  <si>
    <t>FlexyKit AD.FLEX.110, passend zu ADF12
bestehend aus 1x FlexSchlauch DM 80 Länge 1000,
2x FlexConnector, 1x FlexEnd</t>
  </si>
  <si>
    <t>Castel Engineering
Flexi Kit 
für Optimal Kanal
 80x60
ArtNr.: 4100300</t>
  </si>
  <si>
    <t>Castel Engineering
Flexi Kit 
für Optimal Kanal
 110x75
ArtNr.: 4100700</t>
  </si>
  <si>
    <t>Kabelrinne RKSM Magic mit Schnellverbindung 60x200x3050 St FS
SCHÄCKE Art.Nr.: 
2221977
Hersteller-Art.Nr.: 
6047638
Type: RKSM 620 FS
€/lfm</t>
  </si>
  <si>
    <t>Wand- und Stielausleger mit angeschweißter Kopfplatte B210mm St FT
SCHÄCKE Art.Nr.: 
783153
Hersteller-Art.Nr.: 
6420680
Type: AW 15 21 FT</t>
  </si>
  <si>
    <t>Installationskasten
58471 5 
Kondensatwanne 
E-BOX.VO</t>
  </si>
  <si>
    <t>SIPHON KONDENSWASSERABFLUSS 
135X60X35MM
ALX-6700-000
https://www.linum.eu/de/hvac/kondenswasserpumpen-leitungen/zubehoer-fuer-den-kondensatabfluss-alixo/kondensat-siphons-geruchsverschluesse/alixo-siphon-kondenswasserabfluss-135x60x35mm-alx-6700-000</t>
  </si>
  <si>
    <t>REPARATURSCHALTER 32 A</t>
  </si>
  <si>
    <t>REPARATURSCHALTER 64 A</t>
  </si>
  <si>
    <t>Aspen Kondensatpumpe OptimalDuct 
Mini Lime Gen5
ArtNr.: 1650202</t>
  </si>
  <si>
    <t>Aspen Kondensatpumpe 
Mini Aqua Silent+ 
Gen5
ArtNr.: 1551012</t>
  </si>
  <si>
    <r>
      <rPr>
        <b/>
        <sz val="11"/>
        <color rgb="FF00B050"/>
        <rFont val="Aptos Narrow"/>
        <family val="2"/>
        <scheme val="minor"/>
      </rPr>
      <t>KONDENSATPUMPE EASY AQUA</t>
    </r>
    <r>
      <rPr>
        <sz val="11"/>
        <color rgb="FF00B050"/>
        <rFont val="Aptos Narrow"/>
        <family val="2"/>
        <scheme val="minor"/>
      </rPr>
      <t xml:space="preserve">
 19 dB(A) @ 1 M
AS06806</t>
    </r>
  </si>
  <si>
    <r>
      <rPr>
        <b/>
        <sz val="11"/>
        <color rgb="FF00B050"/>
        <rFont val="Aptos Narrow"/>
        <family val="2"/>
        <scheme val="minor"/>
      </rPr>
      <t>KONDENSATPUMPE EASY CORNER</t>
    </r>
    <r>
      <rPr>
        <sz val="11"/>
        <color rgb="FF00B050"/>
        <rFont val="Aptos Narrow"/>
        <family val="2"/>
        <scheme val="minor"/>
      </rPr>
      <t xml:space="preserve">
Niedriger Modus: 12 L/h, 17 dB(A) @ 1 M
Hoher Modus: 20 L/h, 19 dB(A) @ 1 M</t>
    </r>
  </si>
  <si>
    <t>Siccom
Kondensatpumpe Flowatch Design 
DT20 Optimal Duct, 
20 l/h, 16 db(A)
ArtNr.: 1650002</t>
  </si>
  <si>
    <t xml:space="preserve">Aufschraubstutzen AS 3/4x5/8 o.M.745311 (1/2"auf 3/8"-12-10 mm)
Code: 2745311050, 2745311050 </t>
  </si>
  <si>
    <t>Aufschraubstutzen AS 5/8x3/4 o.M.743309(3/8" auf 1/2"-10-12 mm)
Code: 2743309050, 2743309050</t>
  </si>
  <si>
    <t>Selbstzentrierender Cu-Dichtring 3/4"
Code: CY 15590035</t>
  </si>
  <si>
    <t>Dichtring DR 3/4" 619011
Code: 2619011050</t>
  </si>
  <si>
    <t>Selbstzentrierender Cu-Dichtring 5/8"
Code: CY 15590025</t>
  </si>
  <si>
    <t>Dichtring DR 5/8" 619009
Code: 2619009050, 619009</t>
  </si>
  <si>
    <t>Selbstzentrierender Cu-Dichtring 7/16"
Code: CY 15590015</t>
  </si>
  <si>
    <t>Dichtring DR 7/16" 619005
Code: 2619005050, 2619005050, 2619005050</t>
  </si>
  <si>
    <t>REGIO Kugelsiphon (Geruchsstop)
Artikelnummer: 
858580
Werksnummer:
11126322B</t>
  </si>
  <si>
    <t>Niccons
Installationsbox mit Befestigungslaschen, Abfluss seitlich 375x85x64 mm
ArtNr.: 2150050</t>
  </si>
  <si>
    <t>Preis A</t>
  </si>
  <si>
    <t>EK</t>
  </si>
  <si>
    <t>Preis APP</t>
  </si>
  <si>
    <t xml:space="preserve">AS01261 </t>
  </si>
  <si>
    <t xml:space="preserve">AS01262 </t>
  </si>
  <si>
    <t xml:space="preserve">GUS GDS 600 </t>
  </si>
  <si>
    <t xml:space="preserve">GUS Schraubensatz für GDS
</t>
  </si>
  <si>
    <t xml:space="preserve">
855985
</t>
  </si>
  <si>
    <t xml:space="preserve">855998
</t>
  </si>
  <si>
    <t xml:space="preserve"> 305003
</t>
  </si>
  <si>
    <t xml:space="preserve"> MS257 105</t>
  </si>
  <si>
    <t xml:space="preserve">856001
</t>
  </si>
  <si>
    <r>
      <t xml:space="preserve">MS257, 
</t>
    </r>
    <r>
      <rPr>
        <sz val="11"/>
        <color rgb="FF777777"/>
        <rFont val="Arial"/>
        <family val="2"/>
      </rPr>
      <t>1050013</t>
    </r>
  </si>
  <si>
    <t xml:space="preserve">
AS01025
</t>
  </si>
  <si>
    <t xml:space="preserve">
AS01026
</t>
  </si>
  <si>
    <t>CB1MNaZcM/00000</t>
  </si>
  <si>
    <t>11126322B</t>
  </si>
  <si>
    <r>
      <rPr>
        <b/>
        <sz val="11"/>
        <color rgb="FF00B050"/>
        <rFont val="Aptos Narrow"/>
        <family val="2"/>
        <scheme val="minor"/>
      </rPr>
      <t>KONDENSATPUMPE EASY CORNER</t>
    </r>
    <r>
      <rPr>
        <sz val="11"/>
        <color rgb="FF00B050"/>
        <rFont val="Aptos Narrow"/>
        <family val="2"/>
        <scheme val="minor"/>
      </rPr>
      <t xml:space="preserve">
</t>
    </r>
  </si>
  <si>
    <t xml:space="preserve">
AS06806</t>
  </si>
  <si>
    <t xml:space="preserve">ALX-6700-000
</t>
  </si>
  <si>
    <t xml:space="preserve">
58471 5 
</t>
  </si>
  <si>
    <t xml:space="preserve">783153
</t>
  </si>
  <si>
    <t xml:space="preserve">6047638
</t>
  </si>
  <si>
    <t>FlexyKit AD.FLEX.110, pa</t>
  </si>
  <si>
    <t xml:space="preserve">FlexyKit AD.FLEX.80, </t>
  </si>
  <si>
    <t xml:space="preserve">1692399
</t>
  </si>
  <si>
    <t xml:space="preserve">
SCHÄCKE Art.Nr.: 1676288
8</t>
  </si>
  <si>
    <t xml:space="preserve">Soleco CB1MNaZcV </t>
  </si>
  <si>
    <t xml:space="preserve">Soleco CB1MNaZcG </t>
  </si>
  <si>
    <t>An-u. Abfahrtspauschale für  WE-WL-L-LL-UU</t>
  </si>
  <si>
    <t>An-u. Abfahrtspauschale für  SBG-SKG</t>
  </si>
  <si>
    <t>AAS</t>
  </si>
  <si>
    <t>AAW</t>
  </si>
  <si>
    <t>Bezeichnung</t>
  </si>
  <si>
    <t>Kernbohrung 50-65 mm durch eine  Ziegel-, Holz- oder Trockenbauwand inkl. Schäumung</t>
  </si>
  <si>
    <t>Kernbohrung 50-65 mm durch eineHeraklit /AlterZiegel bis 400 mm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</si>
</sst>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4" formatCode="_-&quot;€&quot;\ * #,##0.00_-;\-&quot;€&quot;\ * #,##0.00_-;_-&quot;€&quot;\ * &quot;-&quot;??_-;_-@_-"/>
    <numFmt numFmtId="164" formatCode="_-&quot;€&quot;\ * #,##0_-;\-&quot;€&quot;\ * #,##0_-;_-&quot;€&quot;\ * &quot;-&quot;??_-;_-@_-"/>
    <numFmt numFmtId="167" formatCode="_-&quot;€&quot;\ * #,##0.00_-;\-&quot;€&quot;\ * #,##0.00_-;_-&quot;€&quot;\ * &quot;-&quot;??_-;_-@_-"/>
  </numFmts>
  <fonts count="15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8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1"/>
      <color theme="8" tint="0.39997558519241921"/>
      <name val="Aptos Narrow"/>
      <family val="2"/>
      <scheme val="minor"/>
    </font>
    <font>
      <b/>
      <sz val="11"/>
      <color theme="8" tint="0.39997558519241921"/>
      <name val="Aptos Narrow"/>
      <family val="2"/>
      <scheme val="minor"/>
    </font>
    <font>
      <sz val="11"/>
      <color rgb="FF0070C0"/>
      <name val="Aptos Narrow"/>
      <family val="2"/>
      <scheme val="minor"/>
    </font>
    <font>
      <b/>
      <sz val="11"/>
      <color rgb="FF333333"/>
      <name val="Arial"/>
      <family val="2"/>
    </font>
    <font>
      <sz val="11"/>
      <color rgb="FF777777"/>
      <name val="Arial"/>
      <family val="2"/>
    </font>
    <font>
      <b/>
      <sz val="11"/>
      <color rgb="FF0070C0"/>
      <name val="Aptos Narrow"/>
      <family val="2"/>
      <scheme val="minor"/>
    </font>
    <font>
      <sz val="11"/>
      <color rgb="FF00B050"/>
      <name val="Aptos Narrow"/>
      <family val="2"/>
      <scheme val="minor"/>
    </font>
    <font>
      <b/>
      <sz val="11"/>
      <color rgb="FF00B050"/>
      <name val="Aptos Narrow"/>
      <family val="2"/>
      <scheme val="minor"/>
    </font>
    <font>
      <sz val="9"/>
      <name val="Aptos Narrow"/>
      <family val="2"/>
      <scheme val="minor"/>
    </font>
    <font>
      <sz val="11"/>
      <color theme="10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">
    <xf numFmtId="0" fontId="0" fillId="0" borderId="0"/>
    <xf numFmtId="44" fontId="1" fillId="0" borderId="0" applyFont="0" applyFill="0" applyBorder="0" applyAlignment="0" applyProtection="0"/>
    <xf numFmtId="0" fontId="4" fillId="0" borderId="0" applyNumberFormat="0" applyFill="0" applyBorder="0" applyAlignment="0" applyProtection="0"/>
    <xf numFmtId="167" fontId="1" fillId="0" borderId="0" applyFont="0" applyFill="0" applyBorder="0" applyAlignment="0" applyProtection="0"/>
  </cellStyleXfs>
  <cellXfs count="45">
    <xf numFmtId="0" fontId="0" fillId="0" borderId="0" xfId="0"/>
    <xf numFmtId="0" fontId="0" fillId="0" borderId="0" xfId="0" applyAlignment="1">
      <alignment vertical="top"/>
    </xf>
    <xf numFmtId="44" fontId="5" fillId="0" borderId="1" xfId="0" applyNumberFormat="1" applyFont="1" applyBorder="1" applyAlignment="1">
      <alignment horizontal="center" vertical="top"/>
    </xf>
    <xf numFmtId="44" fontId="7" fillId="0" borderId="1" xfId="0" applyNumberFormat="1" applyFont="1" applyBorder="1" applyAlignment="1">
      <alignment vertical="top"/>
    </xf>
    <xf numFmtId="44" fontId="7" fillId="0" borderId="1" xfId="1" applyFont="1" applyBorder="1" applyAlignment="1">
      <alignment horizontal="center" vertical="top"/>
    </xf>
    <xf numFmtId="44" fontId="5" fillId="0" borderId="1" xfId="0" applyNumberFormat="1" applyFont="1" applyBorder="1" applyAlignment="1">
      <alignment vertical="top"/>
    </xf>
    <xf numFmtId="44" fontId="2" fillId="0" borderId="1" xfId="0" applyNumberFormat="1" applyFont="1" applyBorder="1" applyAlignment="1">
      <alignment vertical="top"/>
    </xf>
    <xf numFmtId="44" fontId="11" fillId="0" borderId="1" xfId="0" applyNumberFormat="1" applyFont="1" applyBorder="1" applyAlignment="1">
      <alignment vertical="top"/>
    </xf>
    <xf numFmtId="0" fontId="10" fillId="0" borderId="1" xfId="0" applyFont="1" applyBorder="1" applyAlignment="1">
      <alignment horizontal="left" vertical="top" wrapText="1"/>
    </xf>
    <xf numFmtId="44" fontId="10" fillId="0" borderId="1" xfId="0" applyNumberFormat="1" applyFont="1" applyBorder="1" applyAlignment="1">
      <alignment horizontal="center" vertical="top"/>
    </xf>
    <xf numFmtId="44" fontId="12" fillId="0" borderId="1" xfId="0" applyNumberFormat="1" applyFont="1" applyBorder="1" applyAlignment="1">
      <alignment horizontal="center" vertical="top"/>
    </xf>
    <xf numFmtId="44" fontId="0" fillId="0" borderId="0" xfId="1" applyFont="1" applyAlignment="1">
      <alignment vertical="top"/>
    </xf>
    <xf numFmtId="44" fontId="0" fillId="0" borderId="1" xfId="1" applyFont="1" applyBorder="1" applyAlignment="1">
      <alignment vertical="top"/>
    </xf>
    <xf numFmtId="164" fontId="0" fillId="0" borderId="1" xfId="1" applyNumberFormat="1" applyFont="1" applyBorder="1" applyAlignment="1">
      <alignment vertical="top"/>
    </xf>
    <xf numFmtId="0" fontId="0" fillId="0" borderId="0" xfId="0" applyAlignment="1">
      <alignment vertical="top"/>
    </xf>
    <xf numFmtId="0" fontId="5" fillId="0" borderId="1" xfId="0" applyFont="1" applyBorder="1" applyAlignment="1">
      <alignment vertical="top" wrapText="1"/>
    </xf>
    <xf numFmtId="0" fontId="7" fillId="0" borderId="1" xfId="0" applyFont="1" applyBorder="1" applyAlignment="1">
      <alignment vertical="top" wrapText="1"/>
    </xf>
    <xf numFmtId="0" fontId="0" fillId="0" borderId="1" xfId="0" applyBorder="1" applyAlignment="1">
      <alignment vertical="top"/>
    </xf>
    <xf numFmtId="0" fontId="6" fillId="0" borderId="1" xfId="0" applyFont="1" applyBorder="1" applyAlignment="1">
      <alignment vertical="top" wrapText="1"/>
    </xf>
    <xf numFmtId="0" fontId="2" fillId="0" borderId="1" xfId="0" applyFont="1" applyBorder="1" applyAlignment="1">
      <alignment vertical="top" wrapText="1"/>
    </xf>
    <xf numFmtId="0" fontId="11" fillId="0" borderId="1" xfId="0" applyFont="1" applyBorder="1" applyAlignment="1">
      <alignment vertical="top" wrapText="1"/>
    </xf>
    <xf numFmtId="0" fontId="2" fillId="0" borderId="1" xfId="0" applyFont="1" applyBorder="1" applyAlignment="1">
      <alignment vertical="top"/>
    </xf>
    <xf numFmtId="0" fontId="12" fillId="0" borderId="1" xfId="0" applyFont="1" applyBorder="1" applyAlignment="1">
      <alignment horizontal="left" vertical="top" wrapText="1"/>
    </xf>
    <xf numFmtId="0" fontId="13" fillId="0" borderId="1" xfId="0" applyFont="1" applyBorder="1" applyAlignment="1">
      <alignment horizontal="center" vertical="top" wrapText="1"/>
    </xf>
    <xf numFmtId="164" fontId="0" fillId="0" borderId="1" xfId="0" applyNumberFormat="1" applyBorder="1" applyAlignment="1">
      <alignment vertical="top"/>
    </xf>
    <xf numFmtId="0" fontId="3" fillId="0" borderId="1" xfId="0" applyFont="1" applyBorder="1" applyAlignment="1">
      <alignment vertical="top" wrapText="1"/>
    </xf>
    <xf numFmtId="3" fontId="3" fillId="0" borderId="1" xfId="0" applyNumberFormat="1" applyFont="1" applyBorder="1" applyAlignment="1">
      <alignment vertical="top" wrapText="1"/>
    </xf>
    <xf numFmtId="0" fontId="8" fillId="0" borderId="1" xfId="0" applyFont="1" applyBorder="1" applyAlignment="1">
      <alignment vertical="top" wrapText="1"/>
    </xf>
    <xf numFmtId="0" fontId="5" fillId="0" borderId="1" xfId="0" applyFont="1" applyBorder="1" applyAlignment="1">
      <alignment horizontal="center" vertical="top" wrapText="1"/>
    </xf>
    <xf numFmtId="0" fontId="7" fillId="0" borderId="1" xfId="0" applyFont="1" applyBorder="1" applyAlignment="1">
      <alignment horizontal="center" vertical="top" wrapText="1"/>
    </xf>
    <xf numFmtId="0" fontId="8" fillId="0" borderId="1" xfId="0" applyFont="1" applyBorder="1" applyAlignment="1">
      <alignment horizontal="center" vertical="top" wrapText="1"/>
    </xf>
    <xf numFmtId="0" fontId="6" fillId="0" borderId="1" xfId="0" applyFont="1" applyBorder="1" applyAlignment="1">
      <alignment horizontal="center" vertical="top" wrapText="1"/>
    </xf>
    <xf numFmtId="0" fontId="2" fillId="0" borderId="1" xfId="0" applyFont="1" applyBorder="1" applyAlignment="1">
      <alignment horizontal="center" vertical="top" wrapText="1"/>
    </xf>
    <xf numFmtId="0" fontId="11" fillId="0" borderId="1" xfId="0" applyFont="1" applyBorder="1" applyAlignment="1">
      <alignment horizontal="center" vertical="top" wrapText="1"/>
    </xf>
    <xf numFmtId="0" fontId="2" fillId="0" borderId="1" xfId="0" applyFont="1" applyBorder="1" applyAlignment="1">
      <alignment horizontal="center" vertical="top"/>
    </xf>
    <xf numFmtId="0" fontId="12" fillId="0" borderId="1" xfId="0" applyFont="1" applyBorder="1" applyAlignment="1">
      <alignment horizontal="center" vertical="top" wrapText="1"/>
    </xf>
    <xf numFmtId="0" fontId="10" fillId="0" borderId="1" xfId="0" applyFont="1" applyBorder="1" applyAlignment="1">
      <alignment horizontal="center" vertical="top" wrapText="1"/>
    </xf>
    <xf numFmtId="0" fontId="0" fillId="0" borderId="1" xfId="0" applyFont="1" applyBorder="1" applyAlignment="1">
      <alignment horizontal="center" vertical="top"/>
    </xf>
    <xf numFmtId="0" fontId="0" fillId="0" borderId="1" xfId="0" applyFont="1" applyBorder="1" applyAlignment="1">
      <alignment horizontal="center" vertical="top" wrapText="1"/>
    </xf>
    <xf numFmtId="0" fontId="14" fillId="0" borderId="1" xfId="2" applyFont="1" applyBorder="1" applyAlignment="1">
      <alignment horizontal="center" vertical="top" wrapText="1"/>
    </xf>
    <xf numFmtId="0" fontId="0" fillId="0" borderId="0" xfId="0" applyFont="1" applyAlignment="1">
      <alignment horizontal="center" vertical="top"/>
    </xf>
    <xf numFmtId="0" fontId="0" fillId="0" borderId="1" xfId="0" applyFont="1" applyBorder="1" applyAlignment="1">
      <alignment vertical="top"/>
    </xf>
    <xf numFmtId="0" fontId="0" fillId="0" borderId="1" xfId="0" applyFont="1" applyBorder="1" applyAlignment="1">
      <alignment vertical="top" wrapText="1"/>
    </xf>
    <xf numFmtId="0" fontId="14" fillId="0" borderId="1" xfId="2" applyFont="1" applyBorder="1" applyAlignment="1">
      <alignment vertical="top" wrapText="1"/>
    </xf>
    <xf numFmtId="0" fontId="0" fillId="0" borderId="0" xfId="0" applyFont="1" applyAlignment="1">
      <alignment vertical="top"/>
    </xf>
  </cellXfs>
  <cellStyles count="4">
    <cellStyle name="Link" xfId="2" builtinId="8"/>
    <cellStyle name="Standard" xfId="0" builtinId="0"/>
    <cellStyle name="Währung" xfId="1" builtinId="4"/>
    <cellStyle name="Währung 2" xfId="3" xr:uid="{CDBC4F2A-0E55-4475-8F3A-5D732BC3B4E5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69</xdr:row>
      <xdr:rowOff>0</xdr:rowOff>
    </xdr:from>
    <xdr:to>
      <xdr:col>1</xdr:col>
      <xdr:colOff>304800</xdr:colOff>
      <xdr:row>73</xdr:row>
      <xdr:rowOff>301214</xdr:rowOff>
    </xdr:to>
    <xdr:sp macro="" textlink="">
      <xdr:nvSpPr>
        <xdr:cNvPr id="2" name="AutoShape 1" descr="Flexible Rohr Duct Flexy Kit 80mm OD.FLEX.80">
          <a:extLst>
            <a:ext uri="{FF2B5EF4-FFF2-40B4-BE49-F238E27FC236}">
              <a16:creationId xmlns:a16="http://schemas.microsoft.com/office/drawing/2014/main" id="{726CBF59-8117-4742-BF87-26608D27B0AD}"/>
            </a:ext>
          </a:extLst>
        </xdr:cNvPr>
        <xdr:cNvSpPr>
          <a:spLocks noChangeAspect="1" noChangeArrowheads="1"/>
        </xdr:cNvSpPr>
      </xdr:nvSpPr>
      <xdr:spPr bwMode="auto">
        <a:xfrm>
          <a:off x="6339840" y="545211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1</xdr:col>
      <xdr:colOff>0</xdr:colOff>
      <xdr:row>70</xdr:row>
      <xdr:rowOff>0</xdr:rowOff>
    </xdr:from>
    <xdr:ext cx="304800" cy="304800"/>
    <xdr:sp macro="" textlink="">
      <xdr:nvSpPr>
        <xdr:cNvPr id="3" name="AutoShape 1" descr="Flexible Rohr Duct Flexy Kit 80mm OD.FLEX.80">
          <a:extLst>
            <a:ext uri="{FF2B5EF4-FFF2-40B4-BE49-F238E27FC236}">
              <a16:creationId xmlns:a16="http://schemas.microsoft.com/office/drawing/2014/main" id="{EC552500-CC4A-42C0-BB15-8BEAF105254C}"/>
            </a:ext>
          </a:extLst>
        </xdr:cNvPr>
        <xdr:cNvSpPr>
          <a:spLocks noChangeAspect="1" noChangeArrowheads="1"/>
        </xdr:cNvSpPr>
      </xdr:nvSpPr>
      <xdr:spPr bwMode="auto">
        <a:xfrm>
          <a:off x="6339840" y="552526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</xdr:wsDr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76026D-77EB-4C4F-8D5F-2D4B3B418188}">
  <dimension ref="A1:H99"/>
  <sheetViews>
    <sheetView tabSelected="1" zoomScaleNormal="100" workbookViewId="0">
      <selection activeCell="E2" sqref="E2:E99"/>
    </sheetView>
  </sheetViews>
  <sheetFormatPr baseColWidth="10" defaultRowHeight="14.4" x14ac:dyDescent="0.3"/>
  <cols>
    <col min="1" max="1" width="23.109375" style="40" customWidth="1"/>
    <col min="2" max="2" width="75.5546875" style="44" customWidth="1"/>
    <col min="3" max="3" width="11.5546875" style="1"/>
    <col min="4" max="4" width="24.109375" style="1" customWidth="1"/>
    <col min="5" max="6" width="12.33203125" style="11" customWidth="1"/>
    <col min="7" max="16384" width="11.5546875" style="1"/>
  </cols>
  <sheetData>
    <row r="1" spans="1:8" x14ac:dyDescent="0.3">
      <c r="A1" s="37" t="s">
        <v>0</v>
      </c>
      <c r="B1" s="41" t="s">
        <v>147</v>
      </c>
      <c r="C1" s="17" t="s">
        <v>114</v>
      </c>
      <c r="D1" s="17" t="s">
        <v>1</v>
      </c>
      <c r="E1" s="12" t="s">
        <v>116</v>
      </c>
      <c r="F1" s="12" t="s">
        <v>115</v>
      </c>
      <c r="G1" s="17"/>
      <c r="H1" s="17"/>
    </row>
    <row r="2" spans="1:8" s="14" customFormat="1" x14ac:dyDescent="0.3">
      <c r="A2" s="37" t="s">
        <v>5</v>
      </c>
      <c r="B2" s="41" t="s">
        <v>6</v>
      </c>
      <c r="C2" s="17">
        <v>80.25</v>
      </c>
      <c r="D2" s="17" t="s">
        <v>2</v>
      </c>
      <c r="E2" s="13">
        <f>F2*3</f>
        <v>264.82500000000005</v>
      </c>
      <c r="F2" s="13">
        <f>C2*1.1</f>
        <v>88.275000000000006</v>
      </c>
      <c r="G2" s="17"/>
      <c r="H2" s="17"/>
    </row>
    <row r="3" spans="1:8" s="14" customFormat="1" x14ac:dyDescent="0.3">
      <c r="A3" s="37" t="s">
        <v>11</v>
      </c>
      <c r="B3" s="41" t="s">
        <v>12</v>
      </c>
      <c r="C3" s="17">
        <v>84.53</v>
      </c>
      <c r="D3" s="17" t="s">
        <v>2</v>
      </c>
      <c r="E3" s="13">
        <f t="shared" ref="E3:E66" si="0">F3*3</f>
        <v>278.94900000000001</v>
      </c>
      <c r="F3" s="13">
        <f t="shared" ref="F3:F66" si="1">C3*1.1</f>
        <v>92.983000000000004</v>
      </c>
      <c r="G3" s="17"/>
      <c r="H3" s="17"/>
    </row>
    <row r="4" spans="1:8" s="14" customFormat="1" x14ac:dyDescent="0.3">
      <c r="A4" s="37" t="s">
        <v>13</v>
      </c>
      <c r="B4" s="41" t="s">
        <v>14</v>
      </c>
      <c r="C4" s="17">
        <v>90.95</v>
      </c>
      <c r="D4" s="17" t="s">
        <v>2</v>
      </c>
      <c r="E4" s="13">
        <f t="shared" si="0"/>
        <v>300.13500000000005</v>
      </c>
      <c r="F4" s="13">
        <f t="shared" si="1"/>
        <v>100.04500000000002</v>
      </c>
      <c r="G4" s="17"/>
      <c r="H4" s="17"/>
    </row>
    <row r="5" spans="1:8" s="14" customFormat="1" x14ac:dyDescent="0.3">
      <c r="A5" s="37"/>
      <c r="B5" s="41"/>
      <c r="C5" s="17"/>
      <c r="D5" s="17"/>
      <c r="E5" s="13">
        <f t="shared" si="0"/>
        <v>0</v>
      </c>
      <c r="F5" s="13">
        <f t="shared" si="1"/>
        <v>0</v>
      </c>
      <c r="G5" s="17"/>
      <c r="H5" s="17"/>
    </row>
    <row r="6" spans="1:8" s="14" customFormat="1" x14ac:dyDescent="0.3">
      <c r="A6" s="37" t="s">
        <v>31</v>
      </c>
      <c r="B6" s="41" t="s">
        <v>32</v>
      </c>
      <c r="C6" s="17">
        <v>210</v>
      </c>
      <c r="D6" s="17" t="s">
        <v>2</v>
      </c>
      <c r="E6" s="13">
        <f t="shared" si="0"/>
        <v>693.00000000000011</v>
      </c>
      <c r="F6" s="13">
        <f t="shared" si="1"/>
        <v>231.00000000000003</v>
      </c>
      <c r="G6" s="17"/>
      <c r="H6" s="17"/>
    </row>
    <row r="7" spans="1:8" x14ac:dyDescent="0.3">
      <c r="A7" s="37" t="s">
        <v>17</v>
      </c>
      <c r="B7" s="41" t="s">
        <v>18</v>
      </c>
      <c r="C7" s="17">
        <v>260</v>
      </c>
      <c r="D7" s="17" t="s">
        <v>2</v>
      </c>
      <c r="E7" s="13">
        <f t="shared" si="0"/>
        <v>858</v>
      </c>
      <c r="F7" s="13">
        <f t="shared" si="1"/>
        <v>286</v>
      </c>
      <c r="G7" s="17"/>
      <c r="H7" s="17"/>
    </row>
    <row r="8" spans="1:8" s="14" customFormat="1" x14ac:dyDescent="0.3">
      <c r="A8" s="37" t="s">
        <v>29</v>
      </c>
      <c r="B8" s="41" t="s">
        <v>30</v>
      </c>
      <c r="C8" s="17">
        <v>320</v>
      </c>
      <c r="D8" s="17" t="s">
        <v>2</v>
      </c>
      <c r="E8" s="13">
        <f t="shared" si="0"/>
        <v>1056</v>
      </c>
      <c r="F8" s="13">
        <f t="shared" si="1"/>
        <v>352</v>
      </c>
      <c r="G8" s="17"/>
      <c r="H8" s="17"/>
    </row>
    <row r="9" spans="1:8" s="14" customFormat="1" x14ac:dyDescent="0.3">
      <c r="A9" s="37" t="s">
        <v>27</v>
      </c>
      <c r="B9" s="41" t="s">
        <v>28</v>
      </c>
      <c r="C9" s="17">
        <v>380</v>
      </c>
      <c r="D9" s="17" t="s">
        <v>2</v>
      </c>
      <c r="E9" s="13">
        <f t="shared" si="0"/>
        <v>1254.0000000000002</v>
      </c>
      <c r="F9" s="13">
        <f t="shared" si="1"/>
        <v>418.00000000000006</v>
      </c>
      <c r="G9" s="17"/>
      <c r="H9" s="17"/>
    </row>
    <row r="10" spans="1:8" s="14" customFormat="1" x14ac:dyDescent="0.3">
      <c r="A10" s="37" t="s">
        <v>25</v>
      </c>
      <c r="B10" s="41" t="s">
        <v>26</v>
      </c>
      <c r="C10" s="17">
        <v>440</v>
      </c>
      <c r="D10" s="17" t="s">
        <v>2</v>
      </c>
      <c r="E10" s="13">
        <f t="shared" si="0"/>
        <v>1452.0000000000002</v>
      </c>
      <c r="F10" s="13">
        <f t="shared" si="1"/>
        <v>484.00000000000006</v>
      </c>
      <c r="G10" s="17"/>
      <c r="H10" s="17"/>
    </row>
    <row r="11" spans="1:8" x14ac:dyDescent="0.3">
      <c r="A11" s="37"/>
      <c r="B11" s="41"/>
      <c r="C11" s="17"/>
      <c r="D11" s="17"/>
      <c r="E11" s="13">
        <f t="shared" si="0"/>
        <v>0</v>
      </c>
      <c r="F11" s="13">
        <f t="shared" si="1"/>
        <v>0</v>
      </c>
      <c r="G11" s="17"/>
      <c r="H11" s="17"/>
    </row>
    <row r="12" spans="1:8" s="14" customFormat="1" x14ac:dyDescent="0.3">
      <c r="A12" s="37" t="s">
        <v>48</v>
      </c>
      <c r="B12" s="41" t="s">
        <v>49</v>
      </c>
      <c r="C12" s="17">
        <v>195</v>
      </c>
      <c r="D12" s="17" t="s">
        <v>2</v>
      </c>
      <c r="E12" s="13">
        <f t="shared" si="0"/>
        <v>643.50000000000011</v>
      </c>
      <c r="F12" s="13">
        <f t="shared" si="1"/>
        <v>214.50000000000003</v>
      </c>
      <c r="G12" s="17"/>
      <c r="H12" s="17"/>
    </row>
    <row r="13" spans="1:8" x14ac:dyDescent="0.3">
      <c r="A13" s="37" t="s">
        <v>39</v>
      </c>
      <c r="B13" s="41" t="s">
        <v>40</v>
      </c>
      <c r="C13" s="17">
        <v>159</v>
      </c>
      <c r="D13" s="17" t="s">
        <v>2</v>
      </c>
      <c r="E13" s="13">
        <f t="shared" si="0"/>
        <v>524.70000000000005</v>
      </c>
      <c r="F13" s="13">
        <f t="shared" si="1"/>
        <v>174.9</v>
      </c>
      <c r="G13" s="17"/>
      <c r="H13" s="17"/>
    </row>
    <row r="14" spans="1:8" s="14" customFormat="1" x14ac:dyDescent="0.3">
      <c r="A14" s="37"/>
      <c r="B14" s="41"/>
      <c r="C14" s="17"/>
      <c r="D14" s="17"/>
      <c r="E14" s="13">
        <f t="shared" si="0"/>
        <v>0</v>
      </c>
      <c r="F14" s="13">
        <f t="shared" si="1"/>
        <v>0</v>
      </c>
      <c r="G14" s="17"/>
      <c r="H14" s="17"/>
    </row>
    <row r="15" spans="1:8" s="14" customFormat="1" x14ac:dyDescent="0.3">
      <c r="A15" s="37" t="s">
        <v>23</v>
      </c>
      <c r="B15" s="41" t="s">
        <v>24</v>
      </c>
      <c r="C15" s="17">
        <v>120</v>
      </c>
      <c r="D15" s="17" t="s">
        <v>2</v>
      </c>
      <c r="E15" s="13">
        <f t="shared" si="0"/>
        <v>396</v>
      </c>
      <c r="F15" s="13">
        <f t="shared" si="1"/>
        <v>132</v>
      </c>
      <c r="G15" s="17"/>
      <c r="H15" s="17"/>
    </row>
    <row r="16" spans="1:8" s="14" customFormat="1" x14ac:dyDescent="0.3">
      <c r="A16" s="37" t="s">
        <v>21</v>
      </c>
      <c r="B16" s="41" t="s">
        <v>22</v>
      </c>
      <c r="C16" s="17">
        <v>160</v>
      </c>
      <c r="D16" s="17" t="s">
        <v>2</v>
      </c>
      <c r="E16" s="13">
        <f t="shared" si="0"/>
        <v>528</v>
      </c>
      <c r="F16" s="13">
        <f t="shared" si="1"/>
        <v>176</v>
      </c>
      <c r="G16" s="17"/>
      <c r="H16" s="17"/>
    </row>
    <row r="17" spans="1:8" s="14" customFormat="1" x14ac:dyDescent="0.3">
      <c r="A17" s="37" t="s">
        <v>19</v>
      </c>
      <c r="B17" s="41" t="s">
        <v>20</v>
      </c>
      <c r="C17" s="17">
        <v>220</v>
      </c>
      <c r="D17" s="17" t="s">
        <v>2</v>
      </c>
      <c r="E17" s="13">
        <f t="shared" si="0"/>
        <v>726.00000000000011</v>
      </c>
      <c r="F17" s="13">
        <f t="shared" si="1"/>
        <v>242.00000000000003</v>
      </c>
      <c r="G17" s="17"/>
      <c r="H17" s="17"/>
    </row>
    <row r="18" spans="1:8" s="14" customFormat="1" x14ac:dyDescent="0.3">
      <c r="A18" s="37" t="s">
        <v>7</v>
      </c>
      <c r="B18" s="41" t="s">
        <v>8</v>
      </c>
      <c r="C18" s="17">
        <v>300</v>
      </c>
      <c r="D18" s="17" t="s">
        <v>2</v>
      </c>
      <c r="E18" s="13">
        <f t="shared" si="0"/>
        <v>990</v>
      </c>
      <c r="F18" s="13">
        <f t="shared" si="1"/>
        <v>330</v>
      </c>
      <c r="G18" s="17"/>
      <c r="H18" s="17"/>
    </row>
    <row r="19" spans="1:8" s="14" customFormat="1" x14ac:dyDescent="0.3">
      <c r="A19" s="37" t="s">
        <v>9</v>
      </c>
      <c r="B19" s="41" t="s">
        <v>10</v>
      </c>
      <c r="C19" s="17">
        <v>350</v>
      </c>
      <c r="D19" s="17" t="s">
        <v>2</v>
      </c>
      <c r="E19" s="13">
        <f t="shared" si="0"/>
        <v>1155.0000000000002</v>
      </c>
      <c r="F19" s="13">
        <f t="shared" si="1"/>
        <v>385.00000000000006</v>
      </c>
      <c r="G19" s="17"/>
      <c r="H19" s="17"/>
    </row>
    <row r="20" spans="1:8" x14ac:dyDescent="0.3">
      <c r="A20" s="37" t="s">
        <v>146</v>
      </c>
      <c r="B20" s="41" t="s">
        <v>144</v>
      </c>
      <c r="C20" s="17">
        <v>250</v>
      </c>
      <c r="D20" s="17" t="s">
        <v>2</v>
      </c>
      <c r="E20" s="13">
        <f t="shared" si="0"/>
        <v>825</v>
      </c>
      <c r="F20" s="13">
        <f t="shared" si="1"/>
        <v>275</v>
      </c>
      <c r="G20" s="24"/>
      <c r="H20" s="17"/>
    </row>
    <row r="21" spans="1:8" x14ac:dyDescent="0.3">
      <c r="A21" s="37" t="s">
        <v>145</v>
      </c>
      <c r="B21" s="41" t="s">
        <v>143</v>
      </c>
      <c r="C21" s="17">
        <v>125</v>
      </c>
      <c r="D21" s="17" t="s">
        <v>2</v>
      </c>
      <c r="E21" s="13">
        <f t="shared" si="0"/>
        <v>412.5</v>
      </c>
      <c r="F21" s="13">
        <f t="shared" si="1"/>
        <v>137.5</v>
      </c>
      <c r="G21" s="24"/>
      <c r="H21" s="17"/>
    </row>
    <row r="22" spans="1:8" s="14" customFormat="1" x14ac:dyDescent="0.3">
      <c r="A22" s="37" t="s">
        <v>50</v>
      </c>
      <c r="B22" s="41" t="s">
        <v>51</v>
      </c>
      <c r="C22" s="17">
        <v>69.55</v>
      </c>
      <c r="D22" s="17" t="s">
        <v>2</v>
      </c>
      <c r="E22" s="13">
        <f t="shared" si="0"/>
        <v>229.51500000000004</v>
      </c>
      <c r="F22" s="13">
        <f t="shared" si="1"/>
        <v>76.50500000000001</v>
      </c>
      <c r="G22" s="17"/>
      <c r="H22" s="17"/>
    </row>
    <row r="23" spans="1:8" x14ac:dyDescent="0.3">
      <c r="A23" s="14"/>
      <c r="B23" s="14"/>
      <c r="C23" s="14"/>
      <c r="D23" s="14"/>
      <c r="E23" s="13">
        <f t="shared" si="0"/>
        <v>0</v>
      </c>
      <c r="F23" s="13">
        <f t="shared" si="1"/>
        <v>0</v>
      </c>
      <c r="G23" s="14"/>
      <c r="H23" s="17"/>
    </row>
    <row r="24" spans="1:8" x14ac:dyDescent="0.3">
      <c r="A24" s="37" t="s">
        <v>54</v>
      </c>
      <c r="B24" s="41" t="s">
        <v>55</v>
      </c>
      <c r="C24" s="17">
        <v>350</v>
      </c>
      <c r="D24" s="17" t="s">
        <v>2</v>
      </c>
      <c r="E24" s="13">
        <f t="shared" si="0"/>
        <v>1155.0000000000002</v>
      </c>
      <c r="F24" s="13">
        <f t="shared" si="1"/>
        <v>385.00000000000006</v>
      </c>
      <c r="G24" s="17"/>
      <c r="H24" s="17"/>
    </row>
    <row r="25" spans="1:8" x14ac:dyDescent="0.3">
      <c r="A25" s="37" t="s">
        <v>56</v>
      </c>
      <c r="B25" s="41" t="s">
        <v>57</v>
      </c>
      <c r="C25" s="17">
        <v>270</v>
      </c>
      <c r="D25" s="17" t="s">
        <v>2</v>
      </c>
      <c r="E25" s="13">
        <f t="shared" si="0"/>
        <v>891</v>
      </c>
      <c r="F25" s="13">
        <f t="shared" si="1"/>
        <v>297</v>
      </c>
      <c r="G25" s="17"/>
      <c r="H25" s="17"/>
    </row>
    <row r="26" spans="1:8" x14ac:dyDescent="0.3">
      <c r="A26" s="37" t="s">
        <v>58</v>
      </c>
      <c r="B26" s="41" t="s">
        <v>149</v>
      </c>
      <c r="C26" s="17">
        <v>280</v>
      </c>
      <c r="D26" s="17" t="s">
        <v>2</v>
      </c>
      <c r="E26" s="13">
        <f t="shared" si="0"/>
        <v>924</v>
      </c>
      <c r="F26" s="13">
        <f t="shared" si="1"/>
        <v>308</v>
      </c>
      <c r="G26" s="17"/>
      <c r="H26" s="17"/>
    </row>
    <row r="27" spans="1:8" x14ac:dyDescent="0.3">
      <c r="A27" s="37" t="s">
        <v>3</v>
      </c>
      <c r="B27" s="41" t="s">
        <v>4</v>
      </c>
      <c r="C27" s="17">
        <v>95</v>
      </c>
      <c r="D27" s="17" t="s">
        <v>2</v>
      </c>
      <c r="E27" s="13">
        <f t="shared" si="0"/>
        <v>313.50000000000006</v>
      </c>
      <c r="F27" s="13">
        <f t="shared" si="1"/>
        <v>104.50000000000001</v>
      </c>
      <c r="G27" s="24"/>
      <c r="H27" s="17"/>
    </row>
    <row r="28" spans="1:8" s="14" customFormat="1" hidden="1" x14ac:dyDescent="0.3">
      <c r="A28" s="37" t="s">
        <v>25</v>
      </c>
      <c r="B28" s="41" t="s">
        <v>26</v>
      </c>
      <c r="C28" s="17">
        <v>449.40000000000003</v>
      </c>
      <c r="D28" s="17" t="s">
        <v>2</v>
      </c>
      <c r="E28" s="13">
        <f t="shared" si="0"/>
        <v>1483.0200000000002</v>
      </c>
      <c r="F28" s="13">
        <f t="shared" si="1"/>
        <v>494.34000000000009</v>
      </c>
      <c r="G28" s="17"/>
      <c r="H28" s="17"/>
    </row>
    <row r="29" spans="1:8" s="14" customFormat="1" hidden="1" x14ac:dyDescent="0.3">
      <c r="A29" s="37" t="s">
        <v>27</v>
      </c>
      <c r="B29" s="41" t="s">
        <v>28</v>
      </c>
      <c r="C29" s="17">
        <v>406.6</v>
      </c>
      <c r="D29" s="17" t="s">
        <v>2</v>
      </c>
      <c r="E29" s="13">
        <f t="shared" si="0"/>
        <v>1341.7800000000002</v>
      </c>
      <c r="F29" s="13">
        <f t="shared" si="1"/>
        <v>447.26000000000005</v>
      </c>
      <c r="G29" s="17"/>
      <c r="H29" s="17"/>
    </row>
    <row r="30" spans="1:8" s="14" customFormat="1" hidden="1" x14ac:dyDescent="0.3">
      <c r="A30" s="37" t="s">
        <v>29</v>
      </c>
      <c r="B30" s="41" t="s">
        <v>30</v>
      </c>
      <c r="C30" s="17">
        <v>385.20000000000005</v>
      </c>
      <c r="D30" s="17" t="s">
        <v>2</v>
      </c>
      <c r="E30" s="13">
        <f t="shared" si="0"/>
        <v>1271.1600000000003</v>
      </c>
      <c r="F30" s="13">
        <f t="shared" si="1"/>
        <v>423.72000000000008</v>
      </c>
      <c r="G30" s="17"/>
      <c r="H30" s="17"/>
    </row>
    <row r="31" spans="1:8" x14ac:dyDescent="0.3">
      <c r="A31" s="37"/>
      <c r="B31" s="41"/>
      <c r="C31" s="17"/>
      <c r="D31" s="17"/>
      <c r="E31" s="13">
        <f t="shared" si="0"/>
        <v>0</v>
      </c>
      <c r="F31" s="13">
        <f t="shared" si="1"/>
        <v>0</v>
      </c>
      <c r="G31" s="17"/>
      <c r="H31" s="17"/>
    </row>
    <row r="32" spans="1:8" x14ac:dyDescent="0.3">
      <c r="A32" s="37" t="s">
        <v>52</v>
      </c>
      <c r="B32" s="41" t="s">
        <v>53</v>
      </c>
      <c r="C32" s="17">
        <v>130</v>
      </c>
      <c r="D32" s="17" t="s">
        <v>2</v>
      </c>
      <c r="E32" s="13">
        <f t="shared" si="0"/>
        <v>429</v>
      </c>
      <c r="F32" s="13">
        <f t="shared" si="1"/>
        <v>143</v>
      </c>
      <c r="G32" s="17"/>
      <c r="H32" s="17"/>
    </row>
    <row r="33" spans="1:8" x14ac:dyDescent="0.3">
      <c r="A33" s="37" t="s">
        <v>15</v>
      </c>
      <c r="B33" s="41" t="s">
        <v>16</v>
      </c>
      <c r="C33" s="17">
        <v>85.600000000000009</v>
      </c>
      <c r="D33" s="17" t="s">
        <v>2</v>
      </c>
      <c r="E33" s="13">
        <f t="shared" si="0"/>
        <v>282.48</v>
      </c>
      <c r="F33" s="13">
        <f t="shared" si="1"/>
        <v>94.160000000000011</v>
      </c>
      <c r="G33" s="17"/>
      <c r="H33" s="17"/>
    </row>
    <row r="34" spans="1:8" x14ac:dyDescent="0.3">
      <c r="A34" s="37" t="s">
        <v>33</v>
      </c>
      <c r="B34" s="41" t="s">
        <v>34</v>
      </c>
      <c r="C34" s="17">
        <v>53.5</v>
      </c>
      <c r="D34" s="17" t="s">
        <v>2</v>
      </c>
      <c r="E34" s="13">
        <f t="shared" si="0"/>
        <v>176.55</v>
      </c>
      <c r="F34" s="13">
        <f t="shared" si="1"/>
        <v>58.85</v>
      </c>
      <c r="G34" s="17"/>
      <c r="H34" s="17"/>
    </row>
    <row r="35" spans="1:8" x14ac:dyDescent="0.3">
      <c r="A35" s="37" t="s">
        <v>35</v>
      </c>
      <c r="B35" s="41" t="s">
        <v>36</v>
      </c>
      <c r="C35" s="17">
        <v>155</v>
      </c>
      <c r="D35" s="17" t="s">
        <v>2</v>
      </c>
      <c r="E35" s="13">
        <f t="shared" si="0"/>
        <v>511.5</v>
      </c>
      <c r="F35" s="13">
        <f t="shared" si="1"/>
        <v>170.5</v>
      </c>
      <c r="G35" s="17"/>
      <c r="H35" s="17"/>
    </row>
    <row r="36" spans="1:8" x14ac:dyDescent="0.3">
      <c r="A36" s="37" t="s">
        <v>37</v>
      </c>
      <c r="B36" s="41" t="s">
        <v>38</v>
      </c>
      <c r="C36" s="17">
        <v>0</v>
      </c>
      <c r="D36" s="17" t="s">
        <v>2</v>
      </c>
      <c r="E36" s="13">
        <f t="shared" si="0"/>
        <v>0</v>
      </c>
      <c r="F36" s="13">
        <f t="shared" si="1"/>
        <v>0</v>
      </c>
      <c r="G36" s="17"/>
      <c r="H36" s="17"/>
    </row>
    <row r="37" spans="1:8" x14ac:dyDescent="0.3">
      <c r="A37" s="37"/>
      <c r="B37" s="41"/>
      <c r="C37" s="17"/>
      <c r="D37" s="17"/>
      <c r="E37" s="13">
        <f t="shared" si="0"/>
        <v>0</v>
      </c>
      <c r="F37" s="13">
        <f t="shared" si="1"/>
        <v>0</v>
      </c>
      <c r="G37" s="17"/>
      <c r="H37" s="17"/>
    </row>
    <row r="38" spans="1:8" x14ac:dyDescent="0.3">
      <c r="A38" s="37"/>
      <c r="B38" s="41"/>
      <c r="C38" s="17"/>
      <c r="D38" s="17"/>
      <c r="E38" s="13">
        <f t="shared" si="0"/>
        <v>0</v>
      </c>
      <c r="F38" s="13">
        <f t="shared" si="1"/>
        <v>0</v>
      </c>
      <c r="G38" s="17"/>
      <c r="H38" s="17"/>
    </row>
    <row r="39" spans="1:8" x14ac:dyDescent="0.3">
      <c r="A39" s="37" t="s">
        <v>50</v>
      </c>
      <c r="B39" s="41" t="s">
        <v>148</v>
      </c>
      <c r="C39" s="17">
        <v>180</v>
      </c>
      <c r="D39" s="17" t="s">
        <v>2</v>
      </c>
      <c r="E39" s="13">
        <f t="shared" si="0"/>
        <v>594.00000000000011</v>
      </c>
      <c r="F39" s="13">
        <f t="shared" si="1"/>
        <v>198.00000000000003</v>
      </c>
      <c r="G39" s="17"/>
      <c r="H39" s="17"/>
    </row>
    <row r="40" spans="1:8" x14ac:dyDescent="0.3">
      <c r="A40" s="1"/>
      <c r="B40" s="1"/>
      <c r="E40" s="13">
        <f t="shared" si="0"/>
        <v>0</v>
      </c>
      <c r="F40" s="13">
        <f t="shared" si="1"/>
        <v>0</v>
      </c>
      <c r="H40" s="17"/>
    </row>
    <row r="41" spans="1:8" x14ac:dyDescent="0.3">
      <c r="A41" s="37" t="s">
        <v>54</v>
      </c>
      <c r="B41" s="41" t="s">
        <v>55</v>
      </c>
      <c r="C41" s="17">
        <v>350</v>
      </c>
      <c r="D41" s="17" t="s">
        <v>2</v>
      </c>
      <c r="E41" s="13">
        <f t="shared" si="0"/>
        <v>1155.0000000000002</v>
      </c>
      <c r="F41" s="13">
        <f t="shared" si="1"/>
        <v>385.00000000000006</v>
      </c>
      <c r="G41" s="17"/>
      <c r="H41" s="17"/>
    </row>
    <row r="42" spans="1:8" x14ac:dyDescent="0.3">
      <c r="A42" s="37" t="s">
        <v>56</v>
      </c>
      <c r="B42" s="41" t="s">
        <v>57</v>
      </c>
      <c r="C42" s="17">
        <v>210</v>
      </c>
      <c r="D42" s="17" t="s">
        <v>2</v>
      </c>
      <c r="E42" s="13">
        <f t="shared" si="0"/>
        <v>693.00000000000011</v>
      </c>
      <c r="F42" s="13">
        <f t="shared" si="1"/>
        <v>231.00000000000003</v>
      </c>
      <c r="G42" s="17"/>
      <c r="H42" s="17"/>
    </row>
    <row r="43" spans="1:8" ht="140.4" x14ac:dyDescent="0.3">
      <c r="A43" s="37" t="s">
        <v>59</v>
      </c>
      <c r="B43" s="25" t="s">
        <v>60</v>
      </c>
      <c r="C43" s="17">
        <v>30.816000000000003</v>
      </c>
      <c r="D43" s="17" t="s">
        <v>2</v>
      </c>
      <c r="E43" s="13">
        <f t="shared" si="0"/>
        <v>101.69280000000001</v>
      </c>
      <c r="F43" s="13">
        <f t="shared" si="1"/>
        <v>33.897600000000004</v>
      </c>
      <c r="G43" s="17"/>
      <c r="H43" s="17"/>
    </row>
    <row r="44" spans="1:8" ht="140.4" x14ac:dyDescent="0.3">
      <c r="A44" s="37" t="s">
        <v>61</v>
      </c>
      <c r="B44" s="25" t="s">
        <v>62</v>
      </c>
      <c r="C44" s="17">
        <v>42.372000000000007</v>
      </c>
      <c r="D44" s="17" t="s">
        <v>2</v>
      </c>
      <c r="E44" s="13">
        <f t="shared" si="0"/>
        <v>139.82760000000002</v>
      </c>
      <c r="F44" s="13">
        <f t="shared" si="1"/>
        <v>46.609200000000008</v>
      </c>
      <c r="G44" s="17"/>
      <c r="H44" s="17"/>
    </row>
    <row r="45" spans="1:8" ht="129.6" x14ac:dyDescent="0.3">
      <c r="A45" s="37" t="s">
        <v>63</v>
      </c>
      <c r="B45" s="26" t="s">
        <v>64</v>
      </c>
      <c r="C45" s="17">
        <v>61.632000000000005</v>
      </c>
      <c r="D45" s="17" t="s">
        <v>2</v>
      </c>
      <c r="E45" s="13">
        <f t="shared" si="0"/>
        <v>203.38560000000001</v>
      </c>
      <c r="F45" s="13">
        <f t="shared" si="1"/>
        <v>67.795200000000008</v>
      </c>
      <c r="G45" s="17"/>
      <c r="H45" s="17"/>
    </row>
    <row r="46" spans="1:8" ht="378" x14ac:dyDescent="0.3">
      <c r="A46" s="37" t="s">
        <v>65</v>
      </c>
      <c r="B46" s="25" t="s">
        <v>66</v>
      </c>
      <c r="C46" s="17">
        <v>92.448000000000008</v>
      </c>
      <c r="D46" s="17" t="s">
        <v>2</v>
      </c>
      <c r="E46" s="13">
        <f t="shared" si="0"/>
        <v>305.07840000000004</v>
      </c>
      <c r="F46" s="13">
        <f t="shared" si="1"/>
        <v>101.69280000000002</v>
      </c>
      <c r="G46" s="17"/>
      <c r="H46" s="17"/>
    </row>
    <row r="47" spans="1:8" ht="140.4" x14ac:dyDescent="0.3">
      <c r="A47" s="37" t="s">
        <v>67</v>
      </c>
      <c r="B47" s="25" t="s">
        <v>68</v>
      </c>
      <c r="C47" s="17">
        <v>95.872000000000014</v>
      </c>
      <c r="D47" s="17" t="s">
        <v>2</v>
      </c>
      <c r="E47" s="13">
        <f t="shared" si="0"/>
        <v>316.37760000000009</v>
      </c>
      <c r="F47" s="13">
        <f t="shared" si="1"/>
        <v>105.45920000000002</v>
      </c>
      <c r="G47" s="17"/>
      <c r="H47" s="17"/>
    </row>
    <row r="48" spans="1:8" x14ac:dyDescent="0.3">
      <c r="A48" s="37"/>
      <c r="B48" s="41"/>
      <c r="C48" s="17">
        <v>0</v>
      </c>
      <c r="D48" s="17" t="s">
        <v>2</v>
      </c>
      <c r="E48" s="13">
        <f t="shared" si="0"/>
        <v>0</v>
      </c>
      <c r="F48" s="13">
        <f t="shared" si="1"/>
        <v>0</v>
      </c>
      <c r="G48" s="17"/>
      <c r="H48" s="17"/>
    </row>
    <row r="49" spans="1:8" ht="100.8" customHeight="1" x14ac:dyDescent="0.3">
      <c r="A49" s="28" t="s">
        <v>117</v>
      </c>
      <c r="B49" s="15" t="s">
        <v>69</v>
      </c>
      <c r="C49" s="2">
        <v>19.776</v>
      </c>
      <c r="D49" s="17" t="s">
        <v>2</v>
      </c>
      <c r="E49" s="13">
        <f t="shared" si="0"/>
        <v>65.260800000000003</v>
      </c>
      <c r="F49" s="13">
        <f t="shared" si="1"/>
        <v>21.753600000000002</v>
      </c>
      <c r="G49" s="17"/>
      <c r="H49" s="17"/>
    </row>
    <row r="50" spans="1:8" ht="100.8" customHeight="1" x14ac:dyDescent="0.3">
      <c r="A50" s="28" t="s">
        <v>118</v>
      </c>
      <c r="B50" s="15" t="s">
        <v>70</v>
      </c>
      <c r="C50" s="2">
        <v>26.400000000000002</v>
      </c>
      <c r="D50" s="17" t="s">
        <v>2</v>
      </c>
      <c r="E50" s="13">
        <f t="shared" si="0"/>
        <v>87.120000000000019</v>
      </c>
      <c r="F50" s="13">
        <f t="shared" si="1"/>
        <v>29.040000000000006</v>
      </c>
      <c r="G50" s="17"/>
      <c r="H50" s="17"/>
    </row>
    <row r="51" spans="1:8" ht="72" customHeight="1" x14ac:dyDescent="0.3">
      <c r="A51" s="29" t="s">
        <v>119</v>
      </c>
      <c r="B51" s="16" t="s">
        <v>71</v>
      </c>
      <c r="C51" s="3">
        <v>31.84</v>
      </c>
      <c r="D51" s="17" t="s">
        <v>2</v>
      </c>
      <c r="E51" s="13">
        <f t="shared" si="0"/>
        <v>105.072</v>
      </c>
      <c r="F51" s="13">
        <f t="shared" si="1"/>
        <v>35.024000000000001</v>
      </c>
      <c r="G51" s="17"/>
      <c r="H51" s="17"/>
    </row>
    <row r="52" spans="1:8" ht="86.4" customHeight="1" x14ac:dyDescent="0.3">
      <c r="A52" s="29" t="s">
        <v>120</v>
      </c>
      <c r="B52" s="16" t="s">
        <v>72</v>
      </c>
      <c r="C52" s="3">
        <v>4.4159999999999995</v>
      </c>
      <c r="D52" s="17" t="s">
        <v>2</v>
      </c>
      <c r="E52" s="13">
        <f t="shared" si="0"/>
        <v>14.572799999999999</v>
      </c>
      <c r="F52" s="13">
        <f t="shared" si="1"/>
        <v>4.8575999999999997</v>
      </c>
      <c r="G52" s="17"/>
      <c r="H52" s="17"/>
    </row>
    <row r="53" spans="1:8" ht="43.2" customHeight="1" x14ac:dyDescent="0.3">
      <c r="A53" s="29" t="s">
        <v>121</v>
      </c>
      <c r="B53" s="16" t="s">
        <v>73</v>
      </c>
      <c r="C53" s="3">
        <v>302.40000000000003</v>
      </c>
      <c r="D53" s="17" t="s">
        <v>2</v>
      </c>
      <c r="E53" s="13">
        <f t="shared" si="0"/>
        <v>997.92000000000007</v>
      </c>
      <c r="F53" s="13">
        <f t="shared" si="1"/>
        <v>332.64000000000004</v>
      </c>
      <c r="G53" s="17"/>
      <c r="H53" s="17"/>
    </row>
    <row r="54" spans="1:8" ht="43.2" customHeight="1" x14ac:dyDescent="0.3">
      <c r="A54" s="29" t="s">
        <v>122</v>
      </c>
      <c r="B54" s="16" t="s">
        <v>74</v>
      </c>
      <c r="C54" s="3">
        <v>280</v>
      </c>
      <c r="D54" s="17" t="s">
        <v>2</v>
      </c>
      <c r="E54" s="13">
        <f t="shared" si="0"/>
        <v>924</v>
      </c>
      <c r="F54" s="13">
        <f t="shared" si="1"/>
        <v>308</v>
      </c>
      <c r="G54" s="17"/>
      <c r="H54" s="17"/>
    </row>
    <row r="55" spans="1:8" ht="43.2" customHeight="1" x14ac:dyDescent="0.3">
      <c r="A55" s="29" t="s">
        <v>123</v>
      </c>
      <c r="B55" s="16" t="s">
        <v>75</v>
      </c>
      <c r="C55" s="3">
        <v>103.36</v>
      </c>
      <c r="D55" s="17" t="s">
        <v>2</v>
      </c>
      <c r="E55" s="13">
        <f t="shared" si="0"/>
        <v>341.08800000000002</v>
      </c>
      <c r="F55" s="13">
        <f t="shared" si="1"/>
        <v>113.69600000000001</v>
      </c>
      <c r="G55" s="17"/>
      <c r="H55" s="17"/>
    </row>
    <row r="56" spans="1:8" ht="28.8" customHeight="1" x14ac:dyDescent="0.3">
      <c r="A56" s="29" t="s">
        <v>124</v>
      </c>
      <c r="B56" s="16" t="s">
        <v>76</v>
      </c>
      <c r="C56" s="3">
        <v>56.112000000000002</v>
      </c>
      <c r="D56" s="17" t="s">
        <v>2</v>
      </c>
      <c r="E56" s="13">
        <f t="shared" si="0"/>
        <v>185.1696</v>
      </c>
      <c r="F56" s="13">
        <f t="shared" si="1"/>
        <v>61.723200000000006</v>
      </c>
      <c r="G56" s="17"/>
      <c r="H56" s="17"/>
    </row>
    <row r="57" spans="1:8" ht="72" customHeight="1" x14ac:dyDescent="0.3">
      <c r="A57" s="29" t="s">
        <v>125</v>
      </c>
      <c r="B57" s="16" t="s">
        <v>77</v>
      </c>
      <c r="C57" s="3">
        <v>31.680000000000003</v>
      </c>
      <c r="D57" s="17" t="s">
        <v>2</v>
      </c>
      <c r="E57" s="13">
        <f t="shared" si="0"/>
        <v>104.54400000000001</v>
      </c>
      <c r="F57" s="13">
        <f t="shared" si="1"/>
        <v>34.848000000000006</v>
      </c>
      <c r="G57" s="17"/>
      <c r="H57" s="17"/>
    </row>
    <row r="58" spans="1:8" ht="69" customHeight="1" x14ac:dyDescent="0.3">
      <c r="A58" s="30" t="s">
        <v>126</v>
      </c>
      <c r="B58" s="27" t="s">
        <v>78</v>
      </c>
      <c r="C58" s="3">
        <v>28.8</v>
      </c>
      <c r="D58" s="17" t="s">
        <v>2</v>
      </c>
      <c r="E58" s="13">
        <f t="shared" si="0"/>
        <v>95.04</v>
      </c>
      <c r="F58" s="13">
        <f t="shared" si="1"/>
        <v>31.680000000000003</v>
      </c>
      <c r="G58" s="17"/>
      <c r="H58" s="17"/>
    </row>
    <row r="59" spans="1:8" ht="57.6" customHeight="1" x14ac:dyDescent="0.3">
      <c r="A59" s="29">
        <v>1300230</v>
      </c>
      <c r="B59" s="16" t="s">
        <v>79</v>
      </c>
      <c r="C59" s="3">
        <v>26.160000000000004</v>
      </c>
      <c r="D59" s="17" t="s">
        <v>2</v>
      </c>
      <c r="E59" s="13">
        <f t="shared" si="0"/>
        <v>86.328000000000017</v>
      </c>
      <c r="F59" s="13">
        <f t="shared" si="1"/>
        <v>28.776000000000007</v>
      </c>
      <c r="G59" s="17"/>
      <c r="H59" s="17"/>
    </row>
    <row r="60" spans="1:8" ht="57.6" customHeight="1" x14ac:dyDescent="0.3">
      <c r="A60" s="38" t="s">
        <v>127</v>
      </c>
      <c r="B60" s="42" t="s">
        <v>80</v>
      </c>
      <c r="C60" s="3">
        <v>57.6</v>
      </c>
      <c r="D60" s="17" t="s">
        <v>2</v>
      </c>
      <c r="E60" s="13">
        <f t="shared" si="0"/>
        <v>190.08</v>
      </c>
      <c r="F60" s="13">
        <f t="shared" si="1"/>
        <v>63.360000000000007</v>
      </c>
      <c r="G60" s="17"/>
      <c r="H60" s="17"/>
    </row>
    <row r="61" spans="1:8" ht="43.2" customHeight="1" x14ac:dyDescent="0.3">
      <c r="A61" s="38" t="s">
        <v>128</v>
      </c>
      <c r="B61" s="42" t="s">
        <v>81</v>
      </c>
      <c r="C61" s="3">
        <v>68.8</v>
      </c>
      <c r="D61" s="17" t="s">
        <v>2</v>
      </c>
      <c r="E61" s="13">
        <f t="shared" si="0"/>
        <v>227.04000000000002</v>
      </c>
      <c r="F61" s="13">
        <f t="shared" si="1"/>
        <v>75.680000000000007</v>
      </c>
      <c r="G61" s="17"/>
      <c r="H61" s="17"/>
    </row>
    <row r="62" spans="1:8" ht="72" customHeight="1" x14ac:dyDescent="0.3">
      <c r="A62" s="38">
        <v>1150600</v>
      </c>
      <c r="B62" s="42" t="s">
        <v>82</v>
      </c>
      <c r="C62" s="3">
        <v>99.2</v>
      </c>
      <c r="D62" s="17" t="s">
        <v>2</v>
      </c>
      <c r="E62" s="13">
        <f t="shared" si="0"/>
        <v>327.36000000000007</v>
      </c>
      <c r="F62" s="13">
        <f t="shared" si="1"/>
        <v>109.12000000000002</v>
      </c>
      <c r="G62" s="17"/>
      <c r="H62" s="17"/>
    </row>
    <row r="63" spans="1:8" x14ac:dyDescent="0.3">
      <c r="A63" s="38"/>
      <c r="B63" s="42"/>
      <c r="C63" s="3">
        <v>0</v>
      </c>
      <c r="D63" s="17" t="s">
        <v>2</v>
      </c>
      <c r="E63" s="13">
        <f t="shared" si="0"/>
        <v>0</v>
      </c>
      <c r="F63" s="13">
        <f t="shared" si="1"/>
        <v>0</v>
      </c>
      <c r="G63" s="17"/>
      <c r="H63" s="17"/>
    </row>
    <row r="64" spans="1:8" ht="86.4" x14ac:dyDescent="0.3">
      <c r="A64" s="29">
        <v>1100000</v>
      </c>
      <c r="B64" s="16" t="s">
        <v>83</v>
      </c>
      <c r="C64" s="3">
        <v>73.600000000000009</v>
      </c>
      <c r="D64" s="17" t="s">
        <v>2</v>
      </c>
      <c r="E64" s="13">
        <f t="shared" si="0"/>
        <v>242.88000000000005</v>
      </c>
      <c r="F64" s="13">
        <f t="shared" si="1"/>
        <v>80.960000000000022</v>
      </c>
      <c r="G64" s="17"/>
      <c r="H64" s="17"/>
    </row>
    <row r="65" spans="1:8" ht="86.4" customHeight="1" x14ac:dyDescent="0.3">
      <c r="A65" s="39" t="s">
        <v>129</v>
      </c>
      <c r="B65" s="43" t="s">
        <v>84</v>
      </c>
      <c r="C65" s="2">
        <v>61.2</v>
      </c>
      <c r="D65" s="17" t="s">
        <v>2</v>
      </c>
      <c r="E65" s="13">
        <f t="shared" si="0"/>
        <v>201.96000000000004</v>
      </c>
      <c r="F65" s="13">
        <f t="shared" si="1"/>
        <v>67.320000000000007</v>
      </c>
      <c r="G65" s="17"/>
      <c r="H65" s="17"/>
    </row>
    <row r="66" spans="1:8" ht="57.6" customHeight="1" x14ac:dyDescent="0.3">
      <c r="A66" s="39" t="s">
        <v>142</v>
      </c>
      <c r="B66" s="43" t="s">
        <v>85</v>
      </c>
      <c r="C66" s="2">
        <v>61.2</v>
      </c>
      <c r="D66" s="17" t="s">
        <v>2</v>
      </c>
      <c r="E66" s="13">
        <f t="shared" si="0"/>
        <v>201.96000000000004</v>
      </c>
      <c r="F66" s="13">
        <f t="shared" si="1"/>
        <v>67.320000000000007</v>
      </c>
      <c r="G66" s="17"/>
      <c r="H66" s="17"/>
    </row>
    <row r="67" spans="1:8" ht="57.6" customHeight="1" x14ac:dyDescent="0.3">
      <c r="A67" s="31" t="s">
        <v>141</v>
      </c>
      <c r="B67" s="18" t="s">
        <v>86</v>
      </c>
      <c r="C67" s="2">
        <v>61.2</v>
      </c>
      <c r="D67" s="17" t="s">
        <v>2</v>
      </c>
      <c r="E67" s="13">
        <f t="shared" ref="E67:E99" si="2">F67*3</f>
        <v>201.96000000000004</v>
      </c>
      <c r="F67" s="13">
        <f t="shared" ref="F67:F98" si="3">C67*1.1</f>
        <v>67.320000000000007</v>
      </c>
      <c r="G67" s="17"/>
      <c r="H67" s="17"/>
    </row>
    <row r="68" spans="1:8" ht="86.4" customHeight="1" x14ac:dyDescent="0.3">
      <c r="A68" s="39" t="s">
        <v>140</v>
      </c>
      <c r="B68" s="43" t="s">
        <v>87</v>
      </c>
      <c r="C68" s="4">
        <v>17.28</v>
      </c>
      <c r="D68" s="17" t="s">
        <v>2</v>
      </c>
      <c r="E68" s="13">
        <f t="shared" si="2"/>
        <v>57.024000000000008</v>
      </c>
      <c r="F68" s="13">
        <f t="shared" si="3"/>
        <v>19.008000000000003</v>
      </c>
      <c r="G68" s="17"/>
      <c r="H68" s="17"/>
    </row>
    <row r="69" spans="1:8" ht="100.8" customHeight="1" x14ac:dyDescent="0.3">
      <c r="A69" s="39" t="s">
        <v>139</v>
      </c>
      <c r="B69" s="43" t="s">
        <v>88</v>
      </c>
      <c r="C69" s="4">
        <v>17.28</v>
      </c>
      <c r="D69" s="17" t="s">
        <v>2</v>
      </c>
      <c r="E69" s="13">
        <f t="shared" si="2"/>
        <v>57.024000000000008</v>
      </c>
      <c r="F69" s="13">
        <f t="shared" si="3"/>
        <v>19.008000000000003</v>
      </c>
      <c r="G69" s="17"/>
      <c r="H69" s="17"/>
    </row>
    <row r="70" spans="1:8" ht="57.6" customHeight="1" x14ac:dyDescent="0.3">
      <c r="A70" s="32" t="s">
        <v>138</v>
      </c>
      <c r="B70" s="19" t="s">
        <v>89</v>
      </c>
      <c r="C70" s="3">
        <v>56.08</v>
      </c>
      <c r="D70" s="17" t="s">
        <v>2</v>
      </c>
      <c r="E70" s="13">
        <f t="shared" si="2"/>
        <v>185.06400000000002</v>
      </c>
      <c r="F70" s="13">
        <f t="shared" si="3"/>
        <v>61.688000000000002</v>
      </c>
      <c r="G70" s="17"/>
      <c r="H70" s="17"/>
    </row>
    <row r="71" spans="1:8" ht="43.2" customHeight="1" x14ac:dyDescent="0.3">
      <c r="A71" s="32" t="s">
        <v>137</v>
      </c>
      <c r="B71" s="19" t="s">
        <v>90</v>
      </c>
      <c r="C71" s="3">
        <v>67.328000000000003</v>
      </c>
      <c r="D71" s="17" t="s">
        <v>2</v>
      </c>
      <c r="E71" s="13">
        <f t="shared" si="2"/>
        <v>222.18240000000003</v>
      </c>
      <c r="F71" s="13">
        <f t="shared" si="3"/>
        <v>74.060800000000015</v>
      </c>
      <c r="G71" s="17"/>
      <c r="H71" s="17"/>
    </row>
    <row r="72" spans="1:8" ht="72" x14ac:dyDescent="0.3">
      <c r="A72" s="33">
        <v>4100300</v>
      </c>
      <c r="B72" s="20" t="s">
        <v>91</v>
      </c>
      <c r="C72" s="3">
        <v>33.6</v>
      </c>
      <c r="D72" s="17" t="s">
        <v>2</v>
      </c>
      <c r="E72" s="13">
        <f t="shared" si="2"/>
        <v>110.88000000000002</v>
      </c>
      <c r="F72" s="13">
        <f t="shared" si="3"/>
        <v>36.960000000000008</v>
      </c>
      <c r="G72" s="17"/>
      <c r="H72" s="17"/>
    </row>
    <row r="73" spans="1:8" ht="72" x14ac:dyDescent="0.3">
      <c r="A73" s="33">
        <v>4100700</v>
      </c>
      <c r="B73" s="20" t="s">
        <v>92</v>
      </c>
      <c r="C73" s="3">
        <v>41.6</v>
      </c>
      <c r="D73" s="17" t="s">
        <v>2</v>
      </c>
      <c r="E73" s="13">
        <f t="shared" si="2"/>
        <v>137.28000000000003</v>
      </c>
      <c r="F73" s="13">
        <f t="shared" si="3"/>
        <v>45.760000000000005</v>
      </c>
      <c r="G73" s="17"/>
      <c r="H73" s="17"/>
    </row>
    <row r="74" spans="1:8" ht="100.8" customHeight="1" x14ac:dyDescent="0.3">
      <c r="A74" s="29" t="s">
        <v>136</v>
      </c>
      <c r="B74" s="16" t="s">
        <v>93</v>
      </c>
      <c r="C74" s="3">
        <v>16.303999999999998</v>
      </c>
      <c r="D74" s="17" t="s">
        <v>2</v>
      </c>
      <c r="E74" s="13">
        <f t="shared" si="2"/>
        <v>53.803200000000004</v>
      </c>
      <c r="F74" s="13">
        <f t="shared" si="3"/>
        <v>17.9344</v>
      </c>
      <c r="G74" s="17"/>
      <c r="H74" s="17"/>
    </row>
    <row r="75" spans="1:8" ht="86.4" customHeight="1" x14ac:dyDescent="0.3">
      <c r="A75" s="29" t="s">
        <v>135</v>
      </c>
      <c r="B75" s="16" t="s">
        <v>94</v>
      </c>
      <c r="C75" s="3">
        <v>8.2720000000000002</v>
      </c>
      <c r="D75" s="17" t="s">
        <v>2</v>
      </c>
      <c r="E75" s="13">
        <f t="shared" si="2"/>
        <v>27.297600000000003</v>
      </c>
      <c r="F75" s="13">
        <f t="shared" si="3"/>
        <v>9.0992000000000015</v>
      </c>
      <c r="G75" s="17"/>
      <c r="H75" s="17"/>
    </row>
    <row r="76" spans="1:8" ht="57.6" x14ac:dyDescent="0.3">
      <c r="A76" s="28" t="s">
        <v>134</v>
      </c>
      <c r="B76" s="15" t="s">
        <v>95</v>
      </c>
      <c r="C76" s="5">
        <v>15.984000000000002</v>
      </c>
      <c r="D76" s="17" t="s">
        <v>2</v>
      </c>
      <c r="E76" s="13">
        <f t="shared" si="2"/>
        <v>52.747200000000007</v>
      </c>
      <c r="F76" s="13">
        <f t="shared" si="3"/>
        <v>17.582400000000003</v>
      </c>
      <c r="G76" s="17"/>
      <c r="H76" s="17"/>
    </row>
    <row r="77" spans="1:8" ht="115.2" customHeight="1" x14ac:dyDescent="0.3">
      <c r="A77" s="38" t="s">
        <v>133</v>
      </c>
      <c r="B77" s="42" t="s">
        <v>96</v>
      </c>
      <c r="C77" s="5">
        <v>13.92</v>
      </c>
      <c r="D77" s="17" t="s">
        <v>2</v>
      </c>
      <c r="E77" s="13">
        <f t="shared" si="2"/>
        <v>45.936000000000007</v>
      </c>
      <c r="F77" s="13">
        <f t="shared" si="3"/>
        <v>15.312000000000001</v>
      </c>
      <c r="G77" s="17"/>
      <c r="H77" s="17"/>
    </row>
    <row r="78" spans="1:8" x14ac:dyDescent="0.3">
      <c r="A78" s="34" t="s">
        <v>97</v>
      </c>
      <c r="B78" s="21" t="s">
        <v>97</v>
      </c>
      <c r="C78" s="6">
        <v>104</v>
      </c>
      <c r="D78" s="17" t="s">
        <v>2</v>
      </c>
      <c r="E78" s="13">
        <f t="shared" si="2"/>
        <v>343.20000000000005</v>
      </c>
      <c r="F78" s="13">
        <f t="shared" si="3"/>
        <v>114.4</v>
      </c>
      <c r="G78" s="17"/>
      <c r="H78" s="17"/>
    </row>
    <row r="79" spans="1:8" x14ac:dyDescent="0.3">
      <c r="A79" s="34" t="s">
        <v>98</v>
      </c>
      <c r="B79" s="21" t="s">
        <v>98</v>
      </c>
      <c r="C79" s="6">
        <v>104</v>
      </c>
      <c r="D79" s="17" t="s">
        <v>2</v>
      </c>
      <c r="E79" s="13">
        <f t="shared" si="2"/>
        <v>343.20000000000005</v>
      </c>
      <c r="F79" s="13">
        <f t="shared" si="3"/>
        <v>114.4</v>
      </c>
      <c r="G79" s="17"/>
      <c r="H79" s="17"/>
    </row>
    <row r="80" spans="1:8" ht="43.2" customHeight="1" x14ac:dyDescent="0.3">
      <c r="A80" s="33">
        <v>1650202</v>
      </c>
      <c r="B80" s="20" t="s">
        <v>99</v>
      </c>
      <c r="C80" s="7">
        <v>296</v>
      </c>
      <c r="D80" s="17" t="s">
        <v>2</v>
      </c>
      <c r="E80" s="13">
        <f t="shared" si="2"/>
        <v>976.80000000000007</v>
      </c>
      <c r="F80" s="13">
        <f t="shared" si="3"/>
        <v>325.60000000000002</v>
      </c>
      <c r="G80" s="17"/>
      <c r="H80" s="17"/>
    </row>
    <row r="81" spans="1:8" ht="57.6" x14ac:dyDescent="0.3">
      <c r="A81" s="35">
        <v>1551012</v>
      </c>
      <c r="B81" s="22" t="s">
        <v>100</v>
      </c>
      <c r="C81" s="10">
        <v>144</v>
      </c>
      <c r="D81" s="17" t="s">
        <v>2</v>
      </c>
      <c r="E81" s="13">
        <f t="shared" si="2"/>
        <v>475.20000000000005</v>
      </c>
      <c r="F81" s="13">
        <f t="shared" si="3"/>
        <v>158.4</v>
      </c>
      <c r="G81" s="17"/>
      <c r="H81" s="17"/>
    </row>
    <row r="82" spans="1:8" ht="43.2" customHeight="1" x14ac:dyDescent="0.3">
      <c r="A82" s="33" t="s">
        <v>132</v>
      </c>
      <c r="B82" s="20" t="s">
        <v>101</v>
      </c>
      <c r="C82" s="10">
        <v>56</v>
      </c>
      <c r="D82" s="17" t="s">
        <v>2</v>
      </c>
      <c r="E82" s="13">
        <f t="shared" si="2"/>
        <v>184.8</v>
      </c>
      <c r="F82" s="13">
        <f t="shared" si="3"/>
        <v>61.600000000000009</v>
      </c>
      <c r="G82" s="17"/>
      <c r="H82" s="17"/>
    </row>
    <row r="83" spans="1:8" ht="57.6" customHeight="1" x14ac:dyDescent="0.3">
      <c r="A83" s="33" t="s">
        <v>131</v>
      </c>
      <c r="B83" s="20" t="s">
        <v>102</v>
      </c>
      <c r="C83" s="10">
        <v>78.400000000000006</v>
      </c>
      <c r="D83" s="17" t="s">
        <v>2</v>
      </c>
      <c r="E83" s="13">
        <f t="shared" si="2"/>
        <v>258.72000000000003</v>
      </c>
      <c r="F83" s="13">
        <f t="shared" si="3"/>
        <v>86.240000000000009</v>
      </c>
      <c r="G83" s="17"/>
      <c r="H83" s="17"/>
    </row>
    <row r="84" spans="1:8" ht="72" customHeight="1" x14ac:dyDescent="0.3">
      <c r="A84" s="36">
        <v>1650002</v>
      </c>
      <c r="B84" s="8" t="s">
        <v>103</v>
      </c>
      <c r="C84" s="9">
        <v>137.6</v>
      </c>
      <c r="D84" s="17" t="s">
        <v>2</v>
      </c>
      <c r="E84" s="13">
        <f t="shared" si="2"/>
        <v>454.08000000000004</v>
      </c>
      <c r="F84" s="13">
        <f t="shared" si="3"/>
        <v>151.36000000000001</v>
      </c>
      <c r="G84" s="17"/>
      <c r="H84" s="17"/>
    </row>
    <row r="85" spans="1:8" x14ac:dyDescent="0.3">
      <c r="A85" s="37" t="s">
        <v>104</v>
      </c>
      <c r="B85" s="41" t="s">
        <v>104</v>
      </c>
      <c r="C85" s="17">
        <v>9.6319999999999997</v>
      </c>
      <c r="D85" s="17" t="s">
        <v>2</v>
      </c>
      <c r="E85" s="13">
        <f t="shared" si="2"/>
        <v>31.785600000000002</v>
      </c>
      <c r="F85" s="13">
        <f t="shared" si="3"/>
        <v>10.5952</v>
      </c>
      <c r="G85" s="17"/>
      <c r="H85" s="17"/>
    </row>
    <row r="86" spans="1:8" x14ac:dyDescent="0.3">
      <c r="A86" s="37" t="s">
        <v>105</v>
      </c>
      <c r="B86" s="41" t="s">
        <v>105</v>
      </c>
      <c r="C86" s="17">
        <v>8.4160000000000004</v>
      </c>
      <c r="D86" s="17" t="s">
        <v>2</v>
      </c>
      <c r="E86" s="13">
        <f t="shared" si="2"/>
        <v>27.772800000000004</v>
      </c>
      <c r="F86" s="13">
        <f t="shared" si="3"/>
        <v>9.2576000000000018</v>
      </c>
      <c r="G86" s="17"/>
      <c r="H86" s="17"/>
    </row>
    <row r="87" spans="1:8" x14ac:dyDescent="0.3">
      <c r="A87" s="37" t="s">
        <v>106</v>
      </c>
      <c r="B87" s="41" t="s">
        <v>106</v>
      </c>
      <c r="C87" s="17">
        <v>5.36</v>
      </c>
      <c r="D87" s="17" t="s">
        <v>2</v>
      </c>
      <c r="E87" s="13">
        <f t="shared" si="2"/>
        <v>17.688000000000002</v>
      </c>
      <c r="F87" s="13">
        <f t="shared" si="3"/>
        <v>5.8960000000000008</v>
      </c>
      <c r="G87" s="17"/>
      <c r="H87" s="17"/>
    </row>
    <row r="88" spans="1:8" x14ac:dyDescent="0.3">
      <c r="A88" s="37" t="s">
        <v>107</v>
      </c>
      <c r="B88" s="41" t="s">
        <v>107</v>
      </c>
      <c r="C88" s="17">
        <v>0.64000000000000012</v>
      </c>
      <c r="D88" s="17" t="s">
        <v>2</v>
      </c>
      <c r="E88" s="13">
        <f t="shared" si="2"/>
        <v>2.1120000000000005</v>
      </c>
      <c r="F88" s="13">
        <f t="shared" si="3"/>
        <v>0.70400000000000018</v>
      </c>
      <c r="G88" s="17"/>
      <c r="H88" s="17"/>
    </row>
    <row r="89" spans="1:8" x14ac:dyDescent="0.3">
      <c r="A89" s="37" t="s">
        <v>108</v>
      </c>
      <c r="B89" s="41" t="s">
        <v>108</v>
      </c>
      <c r="C89" s="17">
        <v>4.976</v>
      </c>
      <c r="D89" s="17" t="s">
        <v>2</v>
      </c>
      <c r="E89" s="13">
        <f t="shared" si="2"/>
        <v>16.4208</v>
      </c>
      <c r="F89" s="13">
        <f t="shared" si="3"/>
        <v>5.4736000000000002</v>
      </c>
      <c r="G89" s="17"/>
      <c r="H89" s="17"/>
    </row>
    <row r="90" spans="1:8" x14ac:dyDescent="0.3">
      <c r="A90" s="37" t="s">
        <v>109</v>
      </c>
      <c r="B90" s="41" t="s">
        <v>109</v>
      </c>
      <c r="C90" s="17">
        <v>0.44800000000000006</v>
      </c>
      <c r="D90" s="17" t="s">
        <v>2</v>
      </c>
      <c r="E90" s="13">
        <f t="shared" si="2"/>
        <v>1.4784000000000004</v>
      </c>
      <c r="F90" s="13">
        <f t="shared" si="3"/>
        <v>0.49280000000000013</v>
      </c>
      <c r="G90" s="17"/>
      <c r="H90" s="17"/>
    </row>
    <row r="91" spans="1:8" x14ac:dyDescent="0.3">
      <c r="A91" s="37" t="s">
        <v>110</v>
      </c>
      <c r="B91" s="41" t="s">
        <v>110</v>
      </c>
      <c r="C91" s="17">
        <v>5.9039999999999999</v>
      </c>
      <c r="D91" s="17" t="s">
        <v>2</v>
      </c>
      <c r="E91" s="13">
        <f t="shared" si="2"/>
        <v>19.483200000000004</v>
      </c>
      <c r="F91" s="13">
        <f t="shared" si="3"/>
        <v>6.4944000000000006</v>
      </c>
      <c r="G91" s="17"/>
      <c r="H91" s="17"/>
    </row>
    <row r="92" spans="1:8" x14ac:dyDescent="0.3">
      <c r="A92" s="37" t="s">
        <v>111</v>
      </c>
      <c r="B92" s="41" t="s">
        <v>111</v>
      </c>
      <c r="C92" s="17">
        <v>0.41600000000000004</v>
      </c>
      <c r="D92" s="17" t="s">
        <v>2</v>
      </c>
      <c r="E92" s="13">
        <f t="shared" si="2"/>
        <v>1.3728000000000002</v>
      </c>
      <c r="F92" s="13">
        <f t="shared" si="3"/>
        <v>0.45760000000000006</v>
      </c>
      <c r="G92" s="17"/>
      <c r="H92" s="17"/>
    </row>
    <row r="93" spans="1:8" ht="60" x14ac:dyDescent="0.3">
      <c r="A93" s="38" t="s">
        <v>130</v>
      </c>
      <c r="B93" s="23" t="s">
        <v>112</v>
      </c>
      <c r="C93" s="17">
        <v>26.160000000000004</v>
      </c>
      <c r="D93" s="17" t="s">
        <v>2</v>
      </c>
      <c r="E93" s="13">
        <f t="shared" si="2"/>
        <v>86.328000000000017</v>
      </c>
      <c r="F93" s="13">
        <f t="shared" si="3"/>
        <v>28.776000000000007</v>
      </c>
      <c r="G93" s="17"/>
      <c r="H93" s="17"/>
    </row>
    <row r="94" spans="1:8" ht="43.2" x14ac:dyDescent="0.3">
      <c r="A94" s="38">
        <v>2150050</v>
      </c>
      <c r="B94" s="42" t="s">
        <v>113</v>
      </c>
      <c r="C94" s="17">
        <v>15.840000000000002</v>
      </c>
      <c r="D94" s="17" t="s">
        <v>2</v>
      </c>
      <c r="E94" s="13">
        <f t="shared" si="2"/>
        <v>52.272000000000006</v>
      </c>
      <c r="F94" s="13">
        <f t="shared" si="3"/>
        <v>17.424000000000003</v>
      </c>
      <c r="G94" s="17"/>
      <c r="H94" s="17"/>
    </row>
    <row r="95" spans="1:8" x14ac:dyDescent="0.3">
      <c r="A95" s="37" t="s">
        <v>41</v>
      </c>
      <c r="B95" s="41" t="s">
        <v>42</v>
      </c>
      <c r="C95" s="17">
        <v>373.43</v>
      </c>
      <c r="D95" s="17" t="s">
        <v>2</v>
      </c>
      <c r="E95" s="13">
        <f t="shared" si="2"/>
        <v>1232.319</v>
      </c>
      <c r="F95" s="13">
        <f t="shared" si="3"/>
        <v>410.77300000000002</v>
      </c>
      <c r="G95" s="17"/>
      <c r="H95" s="17"/>
    </row>
    <row r="96" spans="1:8" x14ac:dyDescent="0.3">
      <c r="A96" s="37" t="s">
        <v>43</v>
      </c>
      <c r="B96" s="41" t="s">
        <v>44</v>
      </c>
      <c r="C96" s="17">
        <v>406.6</v>
      </c>
      <c r="D96" s="17" t="s">
        <v>2</v>
      </c>
      <c r="E96" s="13">
        <f t="shared" si="2"/>
        <v>1341.7800000000002</v>
      </c>
      <c r="F96" s="13">
        <f t="shared" si="3"/>
        <v>447.26000000000005</v>
      </c>
      <c r="G96" s="17"/>
      <c r="H96" s="17"/>
    </row>
    <row r="97" spans="1:8" x14ac:dyDescent="0.3">
      <c r="A97" s="37" t="s">
        <v>45</v>
      </c>
      <c r="B97" s="41" t="s">
        <v>44</v>
      </c>
      <c r="C97" s="17">
        <v>469.73</v>
      </c>
      <c r="D97" s="17" t="s">
        <v>2</v>
      </c>
      <c r="E97" s="13">
        <f t="shared" si="2"/>
        <v>1550.1090000000004</v>
      </c>
      <c r="F97" s="13">
        <f t="shared" si="3"/>
        <v>516.70300000000009</v>
      </c>
      <c r="G97" s="17"/>
      <c r="H97" s="17"/>
    </row>
    <row r="98" spans="1:8" x14ac:dyDescent="0.3">
      <c r="A98" s="37" t="s">
        <v>46</v>
      </c>
      <c r="B98" s="41" t="s">
        <v>44</v>
      </c>
      <c r="C98" s="17">
        <v>533.93000000000006</v>
      </c>
      <c r="D98" s="17" t="s">
        <v>2</v>
      </c>
      <c r="E98" s="13">
        <f t="shared" si="2"/>
        <v>1761.9690000000003</v>
      </c>
      <c r="F98" s="13">
        <f t="shared" si="3"/>
        <v>587.32300000000009</v>
      </c>
      <c r="G98" s="17"/>
      <c r="H98" s="17"/>
    </row>
    <row r="99" spans="1:8" x14ac:dyDescent="0.3">
      <c r="A99" s="37" t="s">
        <v>47</v>
      </c>
      <c r="B99" s="41" t="s">
        <v>44</v>
      </c>
      <c r="C99" s="17">
        <v>588.5</v>
      </c>
      <c r="D99" s="17" t="s">
        <v>2</v>
      </c>
      <c r="E99" s="13">
        <f t="shared" si="2"/>
        <v>1177</v>
      </c>
      <c r="F99" s="13">
        <f>C99/1.5</f>
        <v>392.33333333333331</v>
      </c>
      <c r="G99" s="17"/>
      <c r="H99" s="17"/>
    </row>
  </sheetData>
  <pageMargins left="0.7" right="0.7" top="0.78740157499999996" bottom="0.78740157499999996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Tabelle1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Michael Schäpers</dc:creator>
  <cp:lastModifiedBy>Michael Schäpers</cp:lastModifiedBy>
  <dcterms:created xsi:type="dcterms:W3CDTF">2026-02-08T09:20:58Z</dcterms:created>
  <dcterms:modified xsi:type="dcterms:W3CDTF">2026-02-16T01:13:01Z</dcterms:modified>
</cp:coreProperties>
</file>